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74" documentId="8_{33C6C299-611E-4211-942E-822619945D17}" xr6:coauthVersionLast="47" xr6:coauthVersionMax="47" xr10:uidLastSave="{33A7347A-39FC-4DD1-A335-E3EA1BFF31CB}"/>
  <bookViews>
    <workbookView minimized="1" xWindow="0" yWindow="100" windowWidth="19200" windowHeight="1118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<sst xmlns="http://schemas.openxmlformats.org/spreadsheetml/2006/main" count="2579" uniqueCount="616">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</sst>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4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H18" sqref="H18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612</v>
      </c>
      <c r="R1" s="2" t="s">
        <v>613</v>
      </c>
      <c r="S1" s="2" t="s">
        <v>614</v>
      </c>
      <c r="T1" s="2" t="s">
        <v>615</v>
      </c>
      <c r="U1" s="2" t="s">
        <v>338</v>
      </c>
      <c r="V1" s="2" t="s">
        <v>607</v>
      </c>
      <c r="W1" s="2" t="s">
        <v>608</v>
      </c>
      <c r="X1" s="8" t="s">
        <v>609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>+"RothC results for year 2030 for "&amp;A2&amp;"_"&amp;D2&amp;" in ton C/ha"</f>
        <v>RothC results for year 2030 for Barley_irr_ron in ton C/ha</v>
      </c>
      <c r="H2" s="3" t="s">
        <v>339</v>
      </c>
      <c r="I2" s="3" t="s">
        <v>348</v>
      </c>
      <c r="J2" s="3" t="s">
        <v>350</v>
      </c>
      <c r="K2" s="4" t="s">
        <v>349</v>
      </c>
      <c r="N2" t="b">
        <v>0</v>
      </c>
      <c r="O2" t="b">
        <v>0</v>
      </c>
      <c r="P2">
        <v>100</v>
      </c>
      <c r="Q2" t="str">
        <f>+S2</f>
        <v>C:\Users\loyola\OneDrive - World Wildlife Fund, Inc\Documents\203. Python projects\SBTN_Test\data\crops\FAO_GAEZ\YIELDS\GAEZ-V5.RES06-YLD.BRL.WSI.tif</v>
      </c>
      <c r="R2" s="5" t="s">
        <v>479</v>
      </c>
      <c r="S2" s="5" t="s">
        <v>477</v>
      </c>
      <c r="T2" s="6" t="s">
        <v>478</v>
      </c>
      <c r="U2" t="b">
        <v>0</v>
      </c>
      <c r="V2" s="7" t="s">
        <v>606</v>
      </c>
      <c r="W2" t="s">
        <v>610</v>
      </c>
      <c r="X2" t="s">
        <v>611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>+"RothC results for year 2030 for "&amp;A3&amp;"_"&amp;D3&amp;" in ton C/ha"</f>
        <v>RothC results for year 2030 for Barley_irr_roff in ton C/ha</v>
      </c>
      <c r="H3" s="5" t="s">
        <v>340</v>
      </c>
      <c r="I3" s="5" t="s">
        <v>454</v>
      </c>
      <c r="J3" s="5" t="s">
        <v>456</v>
      </c>
      <c r="K3" s="6" t="s">
        <v>455</v>
      </c>
      <c r="N3" t="b">
        <v>0</v>
      </c>
      <c r="O3" t="b">
        <v>0</v>
      </c>
      <c r="P3">
        <v>100</v>
      </c>
      <c r="Q3" t="str">
        <f t="shared" ref="Q3:Q24" si="0">+S3</f>
        <v>C:\Users\loyola\OneDrive - World Wildlife Fund, Inc\Documents\203. Python projects\SBTN_Test\data\crops\FAO_GAEZ\YIELDS\GAEZ-V5.RES06-YLD.BRL.WSI.tif</v>
      </c>
      <c r="R3" s="5" t="s">
        <v>479</v>
      </c>
      <c r="S3" s="5" t="s">
        <v>477</v>
      </c>
      <c r="T3" s="6" t="s">
        <v>478</v>
      </c>
      <c r="U3" t="b">
        <v>0</v>
      </c>
      <c r="V3" s="7" t="s">
        <v>606</v>
      </c>
      <c r="W3" t="s">
        <v>610</v>
      </c>
      <c r="X3" t="s">
        <v>611</v>
      </c>
    </row>
    <row r="4" spans="1:24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ref="G4:G24" si="1">+"RothC results for year 2030 for "&amp;A4&amp;"_"&amp;D4&amp;" in ton C/ha"</f>
        <v>RothC results for year 2030 for Cabbage_irr in ton C/ha</v>
      </c>
      <c r="H4" s="3" t="s">
        <v>351</v>
      </c>
      <c r="I4" s="3" t="s">
        <v>352</v>
      </c>
      <c r="J4" s="3" t="s">
        <v>354</v>
      </c>
      <c r="K4" s="4" t="s">
        <v>353</v>
      </c>
      <c r="N4" t="b">
        <v>0</v>
      </c>
      <c r="O4" t="b">
        <v>0</v>
      </c>
      <c r="P4">
        <v>100</v>
      </c>
      <c r="Q4" t="str">
        <f t="shared" si="0"/>
        <v>C:\Users\loyola\OneDrive - World Wildlife Fund, Inc\Documents\203. Python projects\SBTN_Test\data\crops\FAO_GAEZ\YIELDS\GAEZ-V5.RES06-YLD.OVG.WSI.tif</v>
      </c>
      <c r="R4" s="3" t="s">
        <v>549</v>
      </c>
      <c r="S4" s="3" t="s">
        <v>547</v>
      </c>
      <c r="T4" s="4" t="s">
        <v>548</v>
      </c>
      <c r="U4" t="b">
        <v>0</v>
      </c>
      <c r="V4" s="7" t="s">
        <v>606</v>
      </c>
      <c r="W4" t="s">
        <v>610</v>
      </c>
      <c r="X4" t="s">
        <v>611</v>
      </c>
    </row>
    <row r="5" spans="1:24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1"/>
        <v>RothC results for year 2030 for Carrot_irr in ton C/ha</v>
      </c>
      <c r="H5" s="5" t="s">
        <v>355</v>
      </c>
      <c r="I5" s="5" t="s">
        <v>356</v>
      </c>
      <c r="J5" s="5" t="s">
        <v>358</v>
      </c>
      <c r="K5" s="6" t="s">
        <v>357</v>
      </c>
      <c r="N5" t="b">
        <v>0</v>
      </c>
      <c r="O5" t="b">
        <v>0</v>
      </c>
      <c r="P5">
        <v>100</v>
      </c>
      <c r="Q5" t="str">
        <f t="shared" si="0"/>
        <v>C:\Users\loyola\OneDrive - World Wildlife Fund, Inc\Documents\203. Python projects\SBTN_Test\data\crops\FAO_GAEZ\YIELDS\GAEZ-V5.RES06-YLD.RTS.WSI.tif</v>
      </c>
      <c r="R5" s="5" t="s">
        <v>567</v>
      </c>
      <c r="S5" s="5" t="s">
        <v>565</v>
      </c>
      <c r="T5" s="6" t="s">
        <v>566</v>
      </c>
      <c r="U5" t="b">
        <v>0</v>
      </c>
      <c r="V5" s="7" t="s">
        <v>606</v>
      </c>
      <c r="W5" t="s">
        <v>610</v>
      </c>
      <c r="X5" t="s">
        <v>611</v>
      </c>
    </row>
    <row r="6" spans="1:24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39</v>
      </c>
      <c r="G6" t="str">
        <f t="shared" si="1"/>
        <v>RothC results for year 2030 for Cotton_irr in ton C/ha</v>
      </c>
      <c r="H6" s="3" t="s">
        <v>359</v>
      </c>
      <c r="I6" s="3" t="s">
        <v>360</v>
      </c>
      <c r="J6" s="3" t="s">
        <v>362</v>
      </c>
      <c r="K6" s="4" t="s">
        <v>361</v>
      </c>
      <c r="N6" t="b">
        <v>0</v>
      </c>
      <c r="O6" t="b">
        <v>0</v>
      </c>
      <c r="P6">
        <v>100</v>
      </c>
      <c r="Q6" t="str">
        <f t="shared" si="0"/>
        <v>C:\Users\loyola\OneDrive - World Wildlife Fund, Inc\Documents\203. Python projects\SBTN_Test\data\crops\FAO_GAEZ\YIELDS\GAEZ-V5.RES06-YLD.COT.WSI.tif</v>
      </c>
      <c r="R6" s="3" t="s">
        <v>496</v>
      </c>
      <c r="S6" s="3" t="s">
        <v>494</v>
      </c>
      <c r="T6" s="4" t="s">
        <v>495</v>
      </c>
      <c r="U6" t="b">
        <v>0</v>
      </c>
      <c r="V6" s="7" t="s">
        <v>606</v>
      </c>
      <c r="W6" t="s">
        <v>610</v>
      </c>
      <c r="X6" t="s">
        <v>611</v>
      </c>
    </row>
    <row r="7" spans="1:24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39</v>
      </c>
      <c r="G7" t="str">
        <f t="shared" si="1"/>
        <v>RothC results for year 2030 for Groundnut_irr in ton C/ha</v>
      </c>
      <c r="H7" s="5" t="s">
        <v>447</v>
      </c>
      <c r="I7" s="5" t="s">
        <v>448</v>
      </c>
      <c r="J7" s="5" t="s">
        <v>450</v>
      </c>
      <c r="K7" s="6" t="s">
        <v>449</v>
      </c>
      <c r="N7" t="b">
        <v>0</v>
      </c>
      <c r="O7" t="b">
        <v>0</v>
      </c>
      <c r="P7">
        <v>100</v>
      </c>
      <c r="Q7" t="str">
        <f t="shared" si="0"/>
        <v>C:\Users\loyola\OneDrive - World Wildlife Fund, Inc\Documents\203. Python projects\SBTN_Test\data\crops\FAO_GAEZ\YIELDS\GAEZ-V5.RES06-YLD.GRD.WSI.tif</v>
      </c>
      <c r="R7" s="3" t="s">
        <v>511</v>
      </c>
      <c r="S7" s="3" t="s">
        <v>509</v>
      </c>
      <c r="T7" s="4" t="s">
        <v>510</v>
      </c>
      <c r="U7" t="b">
        <v>0</v>
      </c>
      <c r="V7" s="7" t="s">
        <v>606</v>
      </c>
      <c r="W7" t="s">
        <v>610</v>
      </c>
      <c r="X7" t="s">
        <v>611</v>
      </c>
    </row>
    <row r="8" spans="1:24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39</v>
      </c>
      <c r="G8" t="str">
        <f t="shared" si="1"/>
        <v>RothC results for year 2030 for Maize_irr_ron in ton C/ha</v>
      </c>
      <c r="H8" s="3" t="s">
        <v>363</v>
      </c>
      <c r="I8" s="3" t="s">
        <v>364</v>
      </c>
      <c r="J8" s="3" t="s">
        <v>366</v>
      </c>
      <c r="K8" s="4" t="s">
        <v>365</v>
      </c>
      <c r="N8" t="b">
        <v>0</v>
      </c>
      <c r="O8" t="b">
        <v>0</v>
      </c>
      <c r="P8">
        <v>100</v>
      </c>
      <c r="Q8" t="str">
        <f t="shared" si="0"/>
        <v>C:\Users\loyola\OneDrive - World Wildlife Fund, Inc\Documents\203. Python projects\SBTN_Test\data\crops\FAO_GAEZ\YIELDS\GAEZ-V5.RES06-YLD.MZE.WSI.tif</v>
      </c>
      <c r="R8" s="5" t="s">
        <v>522</v>
      </c>
      <c r="S8" s="5" t="s">
        <v>520</v>
      </c>
      <c r="T8" s="6" t="s">
        <v>521</v>
      </c>
      <c r="U8" t="b">
        <v>0</v>
      </c>
      <c r="V8" s="7" t="s">
        <v>606</v>
      </c>
      <c r="W8" t="s">
        <v>610</v>
      </c>
      <c r="X8" t="s">
        <v>611</v>
      </c>
    </row>
    <row r="9" spans="1:24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39</v>
      </c>
      <c r="G9" t="str">
        <f t="shared" si="1"/>
        <v>RothC results for year 2030 for Maize_irr_roff in ton C/ha</v>
      </c>
      <c r="H9" s="5" t="s">
        <v>457</v>
      </c>
      <c r="I9" s="5" t="s">
        <v>458</v>
      </c>
      <c r="J9" s="5" t="s">
        <v>460</v>
      </c>
      <c r="K9" s="6" t="s">
        <v>459</v>
      </c>
      <c r="N9" t="b">
        <v>0</v>
      </c>
      <c r="O9" t="b">
        <v>0</v>
      </c>
      <c r="P9">
        <v>100</v>
      </c>
      <c r="Q9" t="str">
        <f t="shared" si="0"/>
        <v>C:\Users\loyola\OneDrive - World Wildlife Fund, Inc\Documents\203. Python projects\SBTN_Test\data\crops\FAO_GAEZ\YIELDS\GAEZ-V5.RES06-YLD.MZE.WSI.tif</v>
      </c>
      <c r="R9" s="5" t="s">
        <v>522</v>
      </c>
      <c r="S9" s="5" t="s">
        <v>520</v>
      </c>
      <c r="T9" s="6" t="s">
        <v>521</v>
      </c>
      <c r="U9" t="b">
        <v>0</v>
      </c>
      <c r="V9" s="7" t="s">
        <v>606</v>
      </c>
      <c r="W9" t="s">
        <v>610</v>
      </c>
      <c r="X9" t="s">
        <v>611</v>
      </c>
    </row>
    <row r="10" spans="1:24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39</v>
      </c>
      <c r="G10" t="str">
        <f t="shared" si="1"/>
        <v>RothC results for year 2030 for Onion_irr in ton C/ha</v>
      </c>
      <c r="H10" s="3" t="s">
        <v>367</v>
      </c>
      <c r="I10" s="3" t="s">
        <v>368</v>
      </c>
      <c r="J10" s="3" t="s">
        <v>370</v>
      </c>
      <c r="K10" s="4" t="s">
        <v>369</v>
      </c>
      <c r="N10" t="b">
        <v>0</v>
      </c>
      <c r="O10" t="b">
        <v>0</v>
      </c>
      <c r="P10">
        <v>100</v>
      </c>
      <c r="Q10" t="str">
        <f t="shared" si="0"/>
        <v>../data/crops/spam2020V2r0_global_yield/spam2020_V2r0_global_Y_ONIO_I.tif</v>
      </c>
      <c r="R10" t="s">
        <v>335</v>
      </c>
      <c r="S10" t="s">
        <v>334</v>
      </c>
      <c r="T10" t="s">
        <v>336</v>
      </c>
      <c r="U10" t="b">
        <v>0</v>
      </c>
      <c r="V10" t="s">
        <v>605</v>
      </c>
      <c r="W10" t="s">
        <v>610</v>
      </c>
      <c r="X10" t="s">
        <v>611</v>
      </c>
    </row>
    <row r="11" spans="1:24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1"/>
        <v>RothC results for year 2030 for Potato_irr in ton C/ha</v>
      </c>
      <c r="H11" s="5" t="s">
        <v>371</v>
      </c>
      <c r="I11" s="5" t="s">
        <v>372</v>
      </c>
      <c r="J11" s="5" t="s">
        <v>374</v>
      </c>
      <c r="K11" s="6" t="s">
        <v>373</v>
      </c>
      <c r="N11" t="b">
        <v>0</v>
      </c>
      <c r="O11" t="b">
        <v>0</v>
      </c>
      <c r="P11">
        <v>100</v>
      </c>
      <c r="Q11" t="str">
        <f t="shared" si="0"/>
        <v>C:\Users\loyola\OneDrive - World Wildlife Fund, Inc\Documents\203. Python projects\SBTN_Test\data\crops\FAO_GAEZ\YIELDS\GAEZ-V5.RES06-YLD.POT.WSI.tif</v>
      </c>
      <c r="R11" s="3" t="s">
        <v>557</v>
      </c>
      <c r="S11" s="3" t="s">
        <v>555</v>
      </c>
      <c r="T11" s="4" t="s">
        <v>556</v>
      </c>
      <c r="U11" t="b">
        <v>0</v>
      </c>
      <c r="V11" s="7" t="s">
        <v>606</v>
      </c>
      <c r="W11" t="s">
        <v>610</v>
      </c>
      <c r="X11" t="s">
        <v>611</v>
      </c>
    </row>
    <row r="12" spans="1:24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1"/>
        <v>RothC results for year 2030 for Rapeseed_irr_ron in ton C/ha</v>
      </c>
      <c r="H12" s="3" t="s">
        <v>375</v>
      </c>
      <c r="I12" s="3" t="s">
        <v>376</v>
      </c>
      <c r="J12" s="3" t="s">
        <v>378</v>
      </c>
      <c r="K12" s="4" t="s">
        <v>377</v>
      </c>
      <c r="N12" t="b">
        <v>0</v>
      </c>
      <c r="O12" t="b">
        <v>0</v>
      </c>
      <c r="P12">
        <v>100</v>
      </c>
      <c r="Q12" t="str">
        <f t="shared" si="0"/>
        <v>C:\Users\loyola\OneDrive - World Wildlife Fund, Inc\Documents\203. Python projects\SBTN_Test\data\crops\FAO_GAEZ\YIELDS\GAEZ-V5.RES06-YLD.RSD.WSI.tif</v>
      </c>
      <c r="R12" s="3" t="s">
        <v>563</v>
      </c>
      <c r="S12" s="3" t="s">
        <v>561</v>
      </c>
      <c r="T12" s="4" t="s">
        <v>562</v>
      </c>
      <c r="U12" t="b">
        <v>0</v>
      </c>
      <c r="V12" s="7" t="s">
        <v>606</v>
      </c>
      <c r="W12" t="s">
        <v>610</v>
      </c>
      <c r="X12" t="s">
        <v>611</v>
      </c>
    </row>
    <row r="13" spans="1:24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1"/>
        <v>RothC results for year 2030 for Rapeseed_irr_roff in ton C/ha</v>
      </c>
      <c r="H13" s="5" t="s">
        <v>375</v>
      </c>
      <c r="I13" s="5" t="s">
        <v>461</v>
      </c>
      <c r="J13" s="5" t="s">
        <v>463</v>
      </c>
      <c r="K13" s="6" t="s">
        <v>462</v>
      </c>
      <c r="N13" t="b">
        <v>0</v>
      </c>
      <c r="O13" t="b">
        <v>0</v>
      </c>
      <c r="P13">
        <v>100</v>
      </c>
      <c r="Q13" t="str">
        <f t="shared" si="0"/>
        <v>C:\Users\loyola\OneDrive - World Wildlife Fund, Inc\Documents\203. Python projects\SBTN_Test\data\crops\FAO_GAEZ\YIELDS\GAEZ-V5.RES06-YLD.RSD.WSI.tif</v>
      </c>
      <c r="R13" s="3" t="s">
        <v>563</v>
      </c>
      <c r="S13" s="3" t="s">
        <v>561</v>
      </c>
      <c r="T13" s="4" t="s">
        <v>562</v>
      </c>
      <c r="U13" t="b">
        <v>0</v>
      </c>
      <c r="V13" s="7" t="s">
        <v>606</v>
      </c>
      <c r="W13" t="s">
        <v>610</v>
      </c>
      <c r="X13" t="s">
        <v>611</v>
      </c>
    </row>
    <row r="14" spans="1:24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1"/>
        <v>RothC results for year 2030 for Rice_irr in ton C/ha</v>
      </c>
      <c r="H14" t="s">
        <v>38</v>
      </c>
      <c r="I14" t="s">
        <v>331</v>
      </c>
      <c r="J14" t="s">
        <v>332</v>
      </c>
      <c r="K14" t="s">
        <v>333</v>
      </c>
      <c r="N14" t="b">
        <v>0</v>
      </c>
      <c r="O14" t="b">
        <v>0</v>
      </c>
      <c r="P14">
        <v>100</v>
      </c>
      <c r="Q14" t="str">
        <f t="shared" si="0"/>
        <v>C:\Users\loyola\OneDrive - World Wildlife Fund, Inc\Documents\203. Python projects\SBTN_Test\data\crops\FAO_GAEZ\YIELDS\GAEZ-V5.RES06-YLD.RCW.WSI.tif</v>
      </c>
      <c r="R14" s="5" t="s">
        <v>560</v>
      </c>
      <c r="S14" s="5" t="s">
        <v>558</v>
      </c>
      <c r="T14" s="6" t="s">
        <v>559</v>
      </c>
      <c r="U14" t="b">
        <v>0</v>
      </c>
      <c r="V14" s="7" t="s">
        <v>606</v>
      </c>
      <c r="W14" t="s">
        <v>610</v>
      </c>
      <c r="X14" t="s">
        <v>611</v>
      </c>
    </row>
    <row r="15" spans="1:24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39</v>
      </c>
      <c r="G15" t="str">
        <f t="shared" si="1"/>
        <v>RothC results for year 2030 for Sorghum_irr_ron in ton C/ha</v>
      </c>
      <c r="H15" s="3" t="s">
        <v>379</v>
      </c>
      <c r="I15" s="3" t="s">
        <v>380</v>
      </c>
      <c r="J15" s="3" t="s">
        <v>382</v>
      </c>
      <c r="K15" s="4" t="s">
        <v>381</v>
      </c>
      <c r="N15" t="b">
        <v>0</v>
      </c>
      <c r="O15" t="b">
        <v>0</v>
      </c>
      <c r="P15">
        <v>100</v>
      </c>
      <c r="Q15" t="str">
        <f t="shared" si="0"/>
        <v>C:\Users\loyola\OneDrive - World Wildlife Fund, Inc\Documents\203. Python projects\SBTN_Test\data\crops\FAO_GAEZ\YIELDS\GAEZ-V5.RES06-YLD.SRG.WSI.tif</v>
      </c>
      <c r="R15" s="3" t="s">
        <v>584</v>
      </c>
      <c r="S15" s="3" t="s">
        <v>582</v>
      </c>
      <c r="T15" s="4" t="s">
        <v>583</v>
      </c>
      <c r="U15" t="b">
        <v>0</v>
      </c>
      <c r="V15" s="7" t="s">
        <v>606</v>
      </c>
      <c r="W15" t="s">
        <v>610</v>
      </c>
      <c r="X15" t="s">
        <v>611</v>
      </c>
    </row>
    <row r="16" spans="1:24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39</v>
      </c>
      <c r="G16" t="str">
        <f t="shared" si="1"/>
        <v>RothC results for year 2030 for Sorghum_irr_roff in ton C/ha</v>
      </c>
      <c r="H16" s="5" t="s">
        <v>464</v>
      </c>
      <c r="I16" s="5" t="s">
        <v>465</v>
      </c>
      <c r="J16" s="5" t="s">
        <v>467</v>
      </c>
      <c r="K16" s="6" t="s">
        <v>466</v>
      </c>
      <c r="N16" t="b">
        <v>0</v>
      </c>
      <c r="O16" t="b">
        <v>0</v>
      </c>
      <c r="P16">
        <v>100</v>
      </c>
      <c r="Q16" t="str">
        <f t="shared" si="0"/>
        <v>C:\Users\loyola\OneDrive - World Wildlife Fund, Inc\Documents\203. Python projects\SBTN_Test\data\crops\FAO_GAEZ\YIELDS\GAEZ-V5.RES06-YLD.SRG.WSI.tif</v>
      </c>
      <c r="R16" s="3" t="s">
        <v>584</v>
      </c>
      <c r="S16" s="3" t="s">
        <v>582</v>
      </c>
      <c r="T16" s="4" t="s">
        <v>583</v>
      </c>
      <c r="U16" t="b">
        <v>0</v>
      </c>
      <c r="V16" s="7" t="s">
        <v>606</v>
      </c>
      <c r="W16" t="s">
        <v>610</v>
      </c>
      <c r="X16" t="s">
        <v>611</v>
      </c>
    </row>
    <row r="17" spans="1:24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1"/>
        <v>RothC results for year 2030 for Soybean_irr in ton C/ha</v>
      </c>
      <c r="H17" s="3" t="s">
        <v>383</v>
      </c>
      <c r="I17" s="3" t="s">
        <v>384</v>
      </c>
      <c r="J17" s="3" t="s">
        <v>386</v>
      </c>
      <c r="K17" s="4" t="s">
        <v>385</v>
      </c>
      <c r="N17" t="b">
        <v>0</v>
      </c>
      <c r="O17" t="b">
        <v>0</v>
      </c>
      <c r="P17">
        <v>100</v>
      </c>
      <c r="Q17" t="str">
        <f t="shared" si="0"/>
        <v>C:\Users\loyola\OneDrive - World Wildlife Fund, Inc\Documents\203. Python projects\SBTN_Test\data\crops\FAO_GAEZ\YIELDS\GAEZ-V5.RES06-YLD.SOY.WSI.tif</v>
      </c>
      <c r="R17" s="5" t="s">
        <v>581</v>
      </c>
      <c r="S17" s="5" t="s">
        <v>579</v>
      </c>
      <c r="T17" s="6" t="s">
        <v>580</v>
      </c>
      <c r="U17" t="b">
        <v>0</v>
      </c>
      <c r="V17" s="7" t="s">
        <v>606</v>
      </c>
      <c r="W17" t="s">
        <v>610</v>
      </c>
      <c r="X17" t="s">
        <v>611</v>
      </c>
    </row>
    <row r="18" spans="1:24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1"/>
        <v>RothC results for year 2030 for Sugar beet_irr in ton C/ha</v>
      </c>
      <c r="H18" s="5" t="s">
        <v>387</v>
      </c>
      <c r="I18" s="5" t="s">
        <v>388</v>
      </c>
      <c r="J18" s="5" t="s">
        <v>390</v>
      </c>
      <c r="K18" s="6" t="s">
        <v>389</v>
      </c>
      <c r="N18" t="b">
        <v>0</v>
      </c>
      <c r="O18" t="b">
        <v>0</v>
      </c>
      <c r="P18">
        <v>5</v>
      </c>
      <c r="Q18" t="str">
        <f t="shared" si="0"/>
        <v>C:\Users\loyola\OneDrive - World Wildlife Fund, Inc\Documents\203. Python projects\SBTN_Test\data\crops\FAO_GAEZ\YIELDS\GAEZ-V5.RES06-YLD.SUB.WSI.tif</v>
      </c>
      <c r="R18" s="5" t="s">
        <v>587</v>
      </c>
      <c r="S18" s="5" t="s">
        <v>585</v>
      </c>
      <c r="T18" s="6" t="s">
        <v>586</v>
      </c>
      <c r="U18" t="b">
        <v>1</v>
      </c>
      <c r="V18" s="7" t="s">
        <v>606</v>
      </c>
      <c r="W18" t="s">
        <v>610</v>
      </c>
      <c r="X18" t="s">
        <v>611</v>
      </c>
    </row>
    <row r="19" spans="1:24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1"/>
        <v>RothC results for year 2030 for Sunflower_irr in ton C/ha</v>
      </c>
      <c r="H19" s="3" t="s">
        <v>391</v>
      </c>
      <c r="I19" s="3" t="s">
        <v>392</v>
      </c>
      <c r="J19" s="3" t="s">
        <v>394</v>
      </c>
      <c r="K19" s="4" t="s">
        <v>393</v>
      </c>
      <c r="N19" t="b">
        <v>0</v>
      </c>
      <c r="O19" t="b">
        <v>0</v>
      </c>
      <c r="P19">
        <v>100</v>
      </c>
      <c r="Q19" t="str">
        <f t="shared" si="0"/>
        <v>C:\Users\loyola\OneDrive - World Wildlife Fund, Inc\Documents\203. Python projects\SBTN_Test\data\crops\FAO_GAEZ\YIELDS\GAEZ-V5.RES06-YLD.SFL.WSI.tif</v>
      </c>
      <c r="R19" s="3" t="s">
        <v>578</v>
      </c>
      <c r="S19" s="3" t="s">
        <v>576</v>
      </c>
      <c r="T19" s="4" t="s">
        <v>577</v>
      </c>
      <c r="U19" t="b">
        <v>0</v>
      </c>
      <c r="V19" s="7" t="s">
        <v>606</v>
      </c>
      <c r="W19" t="s">
        <v>610</v>
      </c>
      <c r="X19" t="s">
        <v>611</v>
      </c>
    </row>
    <row r="20" spans="1:24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39</v>
      </c>
      <c r="G20" t="str">
        <f t="shared" si="1"/>
        <v>RothC results for year 2030 for Sweet potato_irr in ton C/ha</v>
      </c>
      <c r="H20" s="5" t="s">
        <v>395</v>
      </c>
      <c r="I20" s="5" t="s">
        <v>396</v>
      </c>
      <c r="J20" s="5" t="s">
        <v>398</v>
      </c>
      <c r="K20" s="6" t="s">
        <v>397</v>
      </c>
      <c r="N20" t="b">
        <v>0</v>
      </c>
      <c r="O20" t="b">
        <v>0</v>
      </c>
      <c r="P20">
        <v>100</v>
      </c>
      <c r="Q20" t="str">
        <f t="shared" si="0"/>
        <v>C:\Users\loyola\OneDrive - World Wildlife Fund, Inc\Documents\203. Python projects\SBTN_Test\data\crops\FAO_GAEZ\YIELDS\GAEZ-V5.RES06-YLD.POT.WSI.tif</v>
      </c>
      <c r="R20" s="3" t="s">
        <v>557</v>
      </c>
      <c r="S20" s="3" t="s">
        <v>555</v>
      </c>
      <c r="T20" s="4" t="s">
        <v>556</v>
      </c>
      <c r="U20" t="b">
        <v>0</v>
      </c>
      <c r="V20" s="7" t="s">
        <v>606</v>
      </c>
      <c r="W20" t="s">
        <v>610</v>
      </c>
      <c r="X20" t="s">
        <v>611</v>
      </c>
    </row>
    <row r="21" spans="1:24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39</v>
      </c>
      <c r="G21" t="str">
        <f t="shared" si="1"/>
        <v>RothC results for year 2030 for Tobacco_irr in ton C/ha</v>
      </c>
      <c r="H21" s="3" t="s">
        <v>399</v>
      </c>
      <c r="I21" s="3" t="s">
        <v>400</v>
      </c>
      <c r="J21" s="3" t="s">
        <v>402</v>
      </c>
      <c r="K21" s="4" t="s">
        <v>401</v>
      </c>
      <c r="N21" t="b">
        <v>0</v>
      </c>
      <c r="O21" t="b">
        <v>0</v>
      </c>
      <c r="P21">
        <v>100</v>
      </c>
      <c r="Q21" t="str">
        <f t="shared" si="0"/>
        <v>C:\Users\loyola\OneDrive - World Wildlife Fund, Inc\Documents\203. Python projects\SBTN_Test\data\crops\FAO_GAEZ\YIELDS\GAEZ-V5.RES06-YLD.TOB.WSI.tif</v>
      </c>
      <c r="R21" s="3" t="s">
        <v>598</v>
      </c>
      <c r="S21" s="3" t="s">
        <v>596</v>
      </c>
      <c r="T21" s="4" t="s">
        <v>597</v>
      </c>
      <c r="U21" t="b">
        <v>0</v>
      </c>
      <c r="V21" s="7" t="s">
        <v>606</v>
      </c>
      <c r="W21" t="s">
        <v>610</v>
      </c>
      <c r="X21" t="s">
        <v>611</v>
      </c>
    </row>
    <row r="22" spans="1:24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39</v>
      </c>
      <c r="G22" t="str">
        <f t="shared" si="1"/>
        <v>RothC results for year 2030 for Tomato_irr in ton C/ha</v>
      </c>
      <c r="H22" s="5" t="s">
        <v>403</v>
      </c>
      <c r="I22" s="5" t="s">
        <v>404</v>
      </c>
      <c r="J22" s="5" t="s">
        <v>406</v>
      </c>
      <c r="K22" s="6" t="s">
        <v>405</v>
      </c>
      <c r="N22" t="b">
        <v>0</v>
      </c>
      <c r="O22" t="b">
        <v>0</v>
      </c>
      <c r="P22">
        <v>100</v>
      </c>
      <c r="Q22" t="str">
        <f t="shared" si="0"/>
        <v>C:\Users\loyola\OneDrive - World Wildlife Fund, Inc\Documents\203. Python projects\SBTN_Test\data\crops\FAO_GAEZ\YIELDS\GAEZ-V5.RES06-YLD.TOM.WSI.tif</v>
      </c>
      <c r="R22" s="5" t="s">
        <v>601</v>
      </c>
      <c r="S22" s="5" t="s">
        <v>599</v>
      </c>
      <c r="T22" s="6" t="s">
        <v>600</v>
      </c>
      <c r="U22" t="b">
        <v>0</v>
      </c>
      <c r="V22" s="7" t="s">
        <v>606</v>
      </c>
      <c r="W22" t="s">
        <v>610</v>
      </c>
      <c r="X22" t="s">
        <v>611</v>
      </c>
    </row>
    <row r="23" spans="1:24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39</v>
      </c>
      <c r="G23" t="str">
        <f t="shared" si="1"/>
        <v>RothC results for year 2030 for Wheat_irr_ron in ton C/ha</v>
      </c>
      <c r="H23" s="3" t="s">
        <v>407</v>
      </c>
      <c r="I23" s="3" t="s">
        <v>408</v>
      </c>
      <c r="J23" s="3" t="s">
        <v>410</v>
      </c>
      <c r="K23" s="4" t="s">
        <v>409</v>
      </c>
      <c r="N23" t="b">
        <v>0</v>
      </c>
      <c r="O23" t="b">
        <v>0</v>
      </c>
      <c r="P23">
        <v>100</v>
      </c>
      <c r="Q23" t="str">
        <f t="shared" si="0"/>
        <v>C:\Users\loyola\OneDrive - World Wildlife Fund, Inc\Documents\203. Python projects\SBTN_Test\data\crops\FAO_GAEZ\YIELDS\GAEZ-V5.RES06-YLD.WHE.WSI.tif</v>
      </c>
      <c r="R23" s="3" t="s">
        <v>604</v>
      </c>
      <c r="S23" s="3" t="s">
        <v>602</v>
      </c>
      <c r="T23" s="4" t="s">
        <v>603</v>
      </c>
      <c r="U23" t="b">
        <v>0</v>
      </c>
      <c r="V23" s="7" t="s">
        <v>606</v>
      </c>
      <c r="W23" t="s">
        <v>610</v>
      </c>
      <c r="X23" t="s">
        <v>611</v>
      </c>
    </row>
    <row r="24" spans="1:24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39</v>
      </c>
      <c r="G24" t="str">
        <f t="shared" si="1"/>
        <v>RothC results for year 2030 for Wheat_irr_roff in ton C/ha</v>
      </c>
      <c r="H24" s="5" t="s">
        <v>468</v>
      </c>
      <c r="I24" s="5" t="s">
        <v>469</v>
      </c>
      <c r="J24" s="5" t="s">
        <v>471</v>
      </c>
      <c r="K24" s="6" t="s">
        <v>470</v>
      </c>
      <c r="N24" t="b">
        <v>0</v>
      </c>
      <c r="O24" t="b">
        <v>0</v>
      </c>
      <c r="P24">
        <v>100</v>
      </c>
      <c r="Q24" t="str">
        <f t="shared" si="0"/>
        <v>C:\Users\loyola\OneDrive - World Wildlife Fund, Inc\Documents\203. Python projects\SBTN_Test\data\crops\FAO_GAEZ\YIELDS\GAEZ-V5.RES06-YLD.WHE.WSI.tif</v>
      </c>
      <c r="R24" s="3" t="s">
        <v>604</v>
      </c>
      <c r="S24" s="3" t="s">
        <v>602</v>
      </c>
      <c r="T24" s="4" t="s">
        <v>603</v>
      </c>
      <c r="U24" t="b">
        <v>0</v>
      </c>
      <c r="V24" s="7" t="s">
        <v>606</v>
      </c>
      <c r="W24" t="s">
        <v>610</v>
      </c>
      <c r="X24" t="s">
        <v>611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341</v>
      </c>
      <c r="C1" t="s">
        <v>342</v>
      </c>
      <c r="D1" t="s">
        <v>343</v>
      </c>
      <c r="E1" t="s">
        <v>344</v>
      </c>
      <c r="F1" t="s">
        <v>346</v>
      </c>
      <c r="G1" t="s">
        <v>345</v>
      </c>
    </row>
    <row r="2" spans="1:7" x14ac:dyDescent="0.35">
      <c r="A2" t="s">
        <v>15</v>
      </c>
      <c r="B2" t="s">
        <v>347</v>
      </c>
      <c r="C2" t="s">
        <v>35</v>
      </c>
      <c r="D2" t="s">
        <v>339</v>
      </c>
      <c r="E2" t="s">
        <v>348</v>
      </c>
      <c r="F2" t="s">
        <v>350</v>
      </c>
      <c r="G2" t="s">
        <v>349</v>
      </c>
    </row>
    <row r="3" spans="1:7" x14ac:dyDescent="0.35">
      <c r="A3" t="s">
        <v>15</v>
      </c>
      <c r="B3" t="s">
        <v>347</v>
      </c>
      <c r="C3" t="s">
        <v>36</v>
      </c>
      <c r="D3" t="s">
        <v>340</v>
      </c>
      <c r="E3" t="s">
        <v>454</v>
      </c>
      <c r="F3" t="s">
        <v>456</v>
      </c>
      <c r="G3" t="s">
        <v>455</v>
      </c>
    </row>
    <row r="4" spans="1:7" x14ac:dyDescent="0.35">
      <c r="A4" t="s">
        <v>16</v>
      </c>
      <c r="B4" t="s">
        <v>347</v>
      </c>
      <c r="C4" t="s">
        <v>37</v>
      </c>
      <c r="D4" t="s">
        <v>351</v>
      </c>
      <c r="E4" t="s">
        <v>352</v>
      </c>
      <c r="F4" t="s">
        <v>354</v>
      </c>
      <c r="G4" t="s">
        <v>353</v>
      </c>
    </row>
    <row r="5" spans="1:7" x14ac:dyDescent="0.35">
      <c r="A5" t="s">
        <v>17</v>
      </c>
      <c r="B5" t="s">
        <v>347</v>
      </c>
      <c r="C5" t="s">
        <v>37</v>
      </c>
      <c r="D5" t="s">
        <v>355</v>
      </c>
      <c r="E5" t="s">
        <v>356</v>
      </c>
      <c r="F5" t="s">
        <v>358</v>
      </c>
      <c r="G5" t="s">
        <v>357</v>
      </c>
    </row>
    <row r="6" spans="1:7" x14ac:dyDescent="0.35">
      <c r="A6" t="s">
        <v>18</v>
      </c>
      <c r="B6" t="s">
        <v>347</v>
      </c>
      <c r="C6" t="s">
        <v>37</v>
      </c>
      <c r="D6" t="s">
        <v>359</v>
      </c>
      <c r="E6" t="s">
        <v>360</v>
      </c>
      <c r="F6" t="s">
        <v>362</v>
      </c>
      <c r="G6" t="s">
        <v>361</v>
      </c>
    </row>
    <row r="7" spans="1:7" x14ac:dyDescent="0.35">
      <c r="A7" t="s">
        <v>19</v>
      </c>
      <c r="B7" t="s">
        <v>347</v>
      </c>
      <c r="C7" t="s">
        <v>37</v>
      </c>
      <c r="D7" t="s">
        <v>447</v>
      </c>
      <c r="E7" t="s">
        <v>448</v>
      </c>
      <c r="F7" t="s">
        <v>450</v>
      </c>
      <c r="G7" t="s">
        <v>449</v>
      </c>
    </row>
    <row r="8" spans="1:7" x14ac:dyDescent="0.35">
      <c r="A8" t="s">
        <v>20</v>
      </c>
      <c r="B8" t="s">
        <v>347</v>
      </c>
      <c r="C8" t="s">
        <v>35</v>
      </c>
      <c r="D8" t="s">
        <v>363</v>
      </c>
      <c r="E8" t="s">
        <v>364</v>
      </c>
      <c r="F8" t="s">
        <v>366</v>
      </c>
      <c r="G8" t="s">
        <v>365</v>
      </c>
    </row>
    <row r="9" spans="1:7" x14ac:dyDescent="0.35">
      <c r="A9" t="s">
        <v>20</v>
      </c>
      <c r="B9" t="s">
        <v>347</v>
      </c>
      <c r="C9" t="s">
        <v>36</v>
      </c>
      <c r="D9" t="s">
        <v>457</v>
      </c>
      <c r="E9" t="s">
        <v>458</v>
      </c>
      <c r="F9" t="s">
        <v>460</v>
      </c>
      <c r="G9" t="s">
        <v>459</v>
      </c>
    </row>
    <row r="10" spans="1:7" x14ac:dyDescent="0.35">
      <c r="A10" t="s">
        <v>21</v>
      </c>
      <c r="B10" t="s">
        <v>347</v>
      </c>
      <c r="C10" t="s">
        <v>37</v>
      </c>
      <c r="D10" t="s">
        <v>367</v>
      </c>
      <c r="E10" t="s">
        <v>368</v>
      </c>
      <c r="F10" t="s">
        <v>370</v>
      </c>
      <c r="G10" t="s">
        <v>369</v>
      </c>
    </row>
    <row r="11" spans="1:7" x14ac:dyDescent="0.35">
      <c r="A11" t="s">
        <v>22</v>
      </c>
      <c r="B11" t="s">
        <v>347</v>
      </c>
      <c r="C11" t="s">
        <v>37</v>
      </c>
      <c r="D11" t="s">
        <v>371</v>
      </c>
      <c r="E11" t="s">
        <v>372</v>
      </c>
      <c r="F11" t="s">
        <v>374</v>
      </c>
      <c r="G11" t="s">
        <v>373</v>
      </c>
    </row>
    <row r="12" spans="1:7" x14ac:dyDescent="0.35">
      <c r="A12" t="s">
        <v>23</v>
      </c>
      <c r="B12" t="s">
        <v>347</v>
      </c>
      <c r="C12" t="s">
        <v>35</v>
      </c>
      <c r="D12" t="s">
        <v>375</v>
      </c>
      <c r="E12" t="s">
        <v>376</v>
      </c>
      <c r="F12" t="s">
        <v>378</v>
      </c>
      <c r="G12" t="s">
        <v>377</v>
      </c>
    </row>
    <row r="13" spans="1:7" x14ac:dyDescent="0.35">
      <c r="A13" t="s">
        <v>23</v>
      </c>
      <c r="B13" t="s">
        <v>347</v>
      </c>
      <c r="C13" t="s">
        <v>36</v>
      </c>
      <c r="D13" t="s">
        <v>375</v>
      </c>
      <c r="E13" t="s">
        <v>461</v>
      </c>
      <c r="F13" t="s">
        <v>463</v>
      </c>
      <c r="G13" t="s">
        <v>462</v>
      </c>
    </row>
    <row r="14" spans="1:7" x14ac:dyDescent="0.35">
      <c r="A14" t="s">
        <v>25</v>
      </c>
      <c r="B14" t="s">
        <v>347</v>
      </c>
      <c r="C14" t="s">
        <v>35</v>
      </c>
      <c r="D14" t="s">
        <v>379</v>
      </c>
      <c r="E14" t="s">
        <v>380</v>
      </c>
      <c r="F14" t="s">
        <v>382</v>
      </c>
      <c r="G14" t="s">
        <v>381</v>
      </c>
    </row>
    <row r="15" spans="1:7" x14ac:dyDescent="0.35">
      <c r="A15" t="s">
        <v>25</v>
      </c>
      <c r="B15" t="s">
        <v>347</v>
      </c>
      <c r="C15" t="s">
        <v>36</v>
      </c>
      <c r="D15" t="s">
        <v>464</v>
      </c>
      <c r="E15" t="s">
        <v>465</v>
      </c>
      <c r="F15" t="s">
        <v>467</v>
      </c>
      <c r="G15" t="s">
        <v>466</v>
      </c>
    </row>
    <row r="16" spans="1:7" x14ac:dyDescent="0.35">
      <c r="A16" t="s">
        <v>26</v>
      </c>
      <c r="B16" t="s">
        <v>347</v>
      </c>
      <c r="C16" t="s">
        <v>37</v>
      </c>
      <c r="D16" t="s">
        <v>383</v>
      </c>
      <c r="E16" t="s">
        <v>384</v>
      </c>
      <c r="F16" t="s">
        <v>386</v>
      </c>
      <c r="G16" t="s">
        <v>385</v>
      </c>
    </row>
    <row r="17" spans="1:7" x14ac:dyDescent="0.35">
      <c r="A17" t="s">
        <v>27</v>
      </c>
      <c r="B17" t="s">
        <v>347</v>
      </c>
      <c r="C17" t="s">
        <v>37</v>
      </c>
      <c r="D17" t="s">
        <v>387</v>
      </c>
      <c r="E17" t="s">
        <v>388</v>
      </c>
      <c r="F17" t="s">
        <v>390</v>
      </c>
      <c r="G17" t="s">
        <v>389</v>
      </c>
    </row>
    <row r="18" spans="1:7" hidden="1" x14ac:dyDescent="0.35">
      <c r="A18" t="s">
        <v>15</v>
      </c>
      <c r="B18" t="s">
        <v>347</v>
      </c>
      <c r="C18" t="s">
        <v>411</v>
      </c>
      <c r="D18" t="s">
        <v>412</v>
      </c>
      <c r="E18" t="s">
        <v>413</v>
      </c>
      <c r="F18" t="s">
        <v>415</v>
      </c>
      <c r="G18" t="s">
        <v>414</v>
      </c>
    </row>
    <row r="19" spans="1:7" hidden="1" x14ac:dyDescent="0.35">
      <c r="A19" t="s">
        <v>18</v>
      </c>
      <c r="B19" t="s">
        <v>347</v>
      </c>
      <c r="C19" t="s">
        <v>416</v>
      </c>
      <c r="D19" t="s">
        <v>417</v>
      </c>
      <c r="E19" t="s">
        <v>418</v>
      </c>
      <c r="F19" t="s">
        <v>419</v>
      </c>
      <c r="G19" t="s">
        <v>414</v>
      </c>
    </row>
    <row r="20" spans="1:7" hidden="1" x14ac:dyDescent="0.35">
      <c r="A20" t="s">
        <v>20</v>
      </c>
      <c r="B20" t="s">
        <v>347</v>
      </c>
      <c r="C20" t="s">
        <v>411</v>
      </c>
      <c r="D20" t="s">
        <v>420</v>
      </c>
      <c r="E20" t="s">
        <v>421</v>
      </c>
      <c r="F20" t="s">
        <v>422</v>
      </c>
      <c r="G20" t="s">
        <v>414</v>
      </c>
    </row>
    <row r="21" spans="1:7" hidden="1" x14ac:dyDescent="0.35">
      <c r="A21" t="s">
        <v>22</v>
      </c>
      <c r="B21" t="s">
        <v>347</v>
      </c>
      <c r="C21" t="s">
        <v>416</v>
      </c>
      <c r="D21" t="s">
        <v>423</v>
      </c>
      <c r="E21" t="s">
        <v>424</v>
      </c>
      <c r="F21" t="s">
        <v>425</v>
      </c>
      <c r="G21" t="s">
        <v>414</v>
      </c>
    </row>
    <row r="22" spans="1:7" hidden="1" x14ac:dyDescent="0.35">
      <c r="A22" t="s">
        <v>23</v>
      </c>
      <c r="B22" t="s">
        <v>347</v>
      </c>
      <c r="C22" t="s">
        <v>411</v>
      </c>
      <c r="D22" t="s">
        <v>426</v>
      </c>
      <c r="E22" t="s">
        <v>427</v>
      </c>
      <c r="F22" t="s">
        <v>428</v>
      </c>
      <c r="G22" t="s">
        <v>414</v>
      </c>
    </row>
    <row r="23" spans="1:7" hidden="1" x14ac:dyDescent="0.35">
      <c r="A23" t="s">
        <v>26</v>
      </c>
      <c r="B23" t="s">
        <v>347</v>
      </c>
      <c r="C23" t="s">
        <v>416</v>
      </c>
      <c r="D23" t="s">
        <v>429</v>
      </c>
      <c r="E23" t="s">
        <v>430</v>
      </c>
      <c r="F23" t="s">
        <v>431</v>
      </c>
      <c r="G23" t="s">
        <v>414</v>
      </c>
    </row>
    <row r="24" spans="1:7" hidden="1" x14ac:dyDescent="0.35">
      <c r="A24" t="s">
        <v>29</v>
      </c>
      <c r="B24" t="s">
        <v>347</v>
      </c>
      <c r="C24" t="s">
        <v>416</v>
      </c>
      <c r="D24" t="s">
        <v>432</v>
      </c>
      <c r="E24" t="s">
        <v>433</v>
      </c>
      <c r="F24" t="s">
        <v>434</v>
      </c>
      <c r="G24" t="s">
        <v>414</v>
      </c>
    </row>
    <row r="25" spans="1:7" hidden="1" x14ac:dyDescent="0.35">
      <c r="A25" t="s">
        <v>30</v>
      </c>
      <c r="B25" t="s">
        <v>347</v>
      </c>
      <c r="C25" t="s">
        <v>416</v>
      </c>
      <c r="D25" t="s">
        <v>435</v>
      </c>
      <c r="E25" t="s">
        <v>436</v>
      </c>
      <c r="F25" t="s">
        <v>437</v>
      </c>
      <c r="G25" t="s">
        <v>414</v>
      </c>
    </row>
    <row r="26" spans="1:7" hidden="1" x14ac:dyDescent="0.35">
      <c r="A26" t="s">
        <v>31</v>
      </c>
      <c r="B26" t="s">
        <v>347</v>
      </c>
      <c r="C26" t="s">
        <v>416</v>
      </c>
      <c r="D26" t="s">
        <v>438</v>
      </c>
      <c r="E26" t="s">
        <v>439</v>
      </c>
      <c r="F26" t="s">
        <v>440</v>
      </c>
      <c r="G26" t="s">
        <v>414</v>
      </c>
    </row>
    <row r="27" spans="1:7" hidden="1" x14ac:dyDescent="0.35">
      <c r="A27" t="s">
        <v>32</v>
      </c>
      <c r="B27" t="s">
        <v>347</v>
      </c>
      <c r="C27" t="s">
        <v>416</v>
      </c>
      <c r="D27" t="s">
        <v>441</v>
      </c>
      <c r="E27" t="s">
        <v>442</v>
      </c>
      <c r="F27" t="s">
        <v>443</v>
      </c>
      <c r="G27" t="s">
        <v>414</v>
      </c>
    </row>
    <row r="28" spans="1:7" hidden="1" x14ac:dyDescent="0.35">
      <c r="A28" t="s">
        <v>33</v>
      </c>
      <c r="B28" t="s">
        <v>347</v>
      </c>
      <c r="C28" t="s">
        <v>411</v>
      </c>
      <c r="D28" t="s">
        <v>444</v>
      </c>
      <c r="E28" t="s">
        <v>445</v>
      </c>
      <c r="F28" t="s">
        <v>446</v>
      </c>
      <c r="G28" t="s">
        <v>414</v>
      </c>
    </row>
    <row r="29" spans="1:7" x14ac:dyDescent="0.35">
      <c r="A29" t="s">
        <v>29</v>
      </c>
      <c r="B29" t="s">
        <v>347</v>
      </c>
      <c r="C29" t="s">
        <v>37</v>
      </c>
      <c r="D29" t="s">
        <v>391</v>
      </c>
      <c r="E29" t="s">
        <v>392</v>
      </c>
      <c r="F29" t="s">
        <v>394</v>
      </c>
      <c r="G29" t="s">
        <v>393</v>
      </c>
    </row>
    <row r="30" spans="1:7" hidden="1" x14ac:dyDescent="0.35">
      <c r="A30" t="s">
        <v>19</v>
      </c>
      <c r="B30" t="s">
        <v>347</v>
      </c>
      <c r="C30" t="s">
        <v>416</v>
      </c>
      <c r="D30" t="s">
        <v>451</v>
      </c>
      <c r="E30" t="s">
        <v>452</v>
      </c>
      <c r="F30" t="s">
        <v>453</v>
      </c>
      <c r="G30" t="s">
        <v>414</v>
      </c>
    </row>
    <row r="31" spans="1:7" x14ac:dyDescent="0.35">
      <c r="A31" t="s">
        <v>30</v>
      </c>
      <c r="B31" t="s">
        <v>347</v>
      </c>
      <c r="C31" t="s">
        <v>37</v>
      </c>
      <c r="D31" t="s">
        <v>395</v>
      </c>
      <c r="E31" t="s">
        <v>396</v>
      </c>
      <c r="F31" t="s">
        <v>398</v>
      </c>
      <c r="G31" t="s">
        <v>397</v>
      </c>
    </row>
    <row r="32" spans="1:7" x14ac:dyDescent="0.35">
      <c r="A32" t="s">
        <v>31</v>
      </c>
      <c r="B32" t="s">
        <v>347</v>
      </c>
      <c r="C32" t="s">
        <v>37</v>
      </c>
      <c r="D32" t="s">
        <v>399</v>
      </c>
      <c r="E32" t="s">
        <v>400</v>
      </c>
      <c r="F32" t="s">
        <v>402</v>
      </c>
      <c r="G32" t="s">
        <v>401</v>
      </c>
    </row>
    <row r="33" spans="1:7" x14ac:dyDescent="0.35">
      <c r="A33" t="s">
        <v>32</v>
      </c>
      <c r="B33" t="s">
        <v>347</v>
      </c>
      <c r="C33" t="s">
        <v>37</v>
      </c>
      <c r="D33" t="s">
        <v>403</v>
      </c>
      <c r="E33" t="s">
        <v>404</v>
      </c>
      <c r="F33" t="s">
        <v>406</v>
      </c>
      <c r="G33" t="s">
        <v>405</v>
      </c>
    </row>
    <row r="34" spans="1:7" x14ac:dyDescent="0.35">
      <c r="A34" t="s">
        <v>33</v>
      </c>
      <c r="B34" t="s">
        <v>347</v>
      </c>
      <c r="C34" t="s">
        <v>35</v>
      </c>
      <c r="D34" t="s">
        <v>407</v>
      </c>
      <c r="E34" t="s">
        <v>408</v>
      </c>
      <c r="F34" t="s">
        <v>410</v>
      </c>
      <c r="G34" t="s">
        <v>409</v>
      </c>
    </row>
    <row r="35" spans="1:7" x14ac:dyDescent="0.35">
      <c r="A35" t="s">
        <v>33</v>
      </c>
      <c r="B35" t="s">
        <v>347</v>
      </c>
      <c r="C35" t="s">
        <v>36</v>
      </c>
      <c r="D35" t="s">
        <v>468</v>
      </c>
      <c r="E35" t="s">
        <v>469</v>
      </c>
      <c r="F35" t="s">
        <v>471</v>
      </c>
      <c r="G35" t="s">
        <v>470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472</v>
      </c>
      <c r="C1" t="s">
        <v>127</v>
      </c>
      <c r="D1" t="s">
        <v>130</v>
      </c>
    </row>
    <row r="2" spans="1:4" x14ac:dyDescent="0.35">
      <c r="A2" t="s">
        <v>473</v>
      </c>
      <c r="B2" t="s">
        <v>476</v>
      </c>
      <c r="C2" t="s">
        <v>474</v>
      </c>
      <c r="D2" t="s">
        <v>475</v>
      </c>
    </row>
    <row r="3" spans="1:4" x14ac:dyDescent="0.35">
      <c r="A3" t="s">
        <v>15</v>
      </c>
      <c r="B3" t="s">
        <v>479</v>
      </c>
      <c r="C3" t="s">
        <v>477</v>
      </c>
      <c r="D3" t="s">
        <v>478</v>
      </c>
    </row>
    <row r="4" spans="1:4" x14ac:dyDescent="0.35">
      <c r="A4" t="s">
        <v>480</v>
      </c>
      <c r="B4" t="s">
        <v>483</v>
      </c>
      <c r="C4" t="s">
        <v>481</v>
      </c>
      <c r="D4" t="s">
        <v>482</v>
      </c>
    </row>
    <row r="5" spans="1:4" x14ac:dyDescent="0.35">
      <c r="A5" t="s">
        <v>59</v>
      </c>
      <c r="B5" t="s">
        <v>486</v>
      </c>
      <c r="C5" t="s">
        <v>484</v>
      </c>
      <c r="D5" t="s">
        <v>485</v>
      </c>
    </row>
    <row r="6" spans="1:4" x14ac:dyDescent="0.35">
      <c r="A6" t="s">
        <v>65</v>
      </c>
      <c r="B6" t="s">
        <v>489</v>
      </c>
      <c r="C6" t="s">
        <v>487</v>
      </c>
      <c r="D6" t="s">
        <v>488</v>
      </c>
    </row>
    <row r="7" spans="1:4" x14ac:dyDescent="0.35">
      <c r="A7" t="s">
        <v>62</v>
      </c>
      <c r="B7" t="s">
        <v>492</v>
      </c>
      <c r="C7" t="s">
        <v>490</v>
      </c>
      <c r="D7" t="s">
        <v>491</v>
      </c>
    </row>
    <row r="8" spans="1:4" x14ac:dyDescent="0.35">
      <c r="A8" t="s">
        <v>493</v>
      </c>
      <c r="B8" t="s">
        <v>496</v>
      </c>
      <c r="C8" t="s">
        <v>494</v>
      </c>
      <c r="D8" t="s">
        <v>495</v>
      </c>
    </row>
    <row r="9" spans="1:4" x14ac:dyDescent="0.35">
      <c r="A9" t="s">
        <v>142</v>
      </c>
      <c r="B9" t="s">
        <v>499</v>
      </c>
      <c r="C9" t="s">
        <v>497</v>
      </c>
      <c r="D9" t="s">
        <v>498</v>
      </c>
    </row>
    <row r="10" spans="1:4" x14ac:dyDescent="0.35">
      <c r="A10" t="s">
        <v>500</v>
      </c>
      <c r="B10" t="s">
        <v>503</v>
      </c>
      <c r="C10" t="s">
        <v>501</v>
      </c>
      <c r="D10" t="s">
        <v>502</v>
      </c>
    </row>
    <row r="11" spans="1:4" x14ac:dyDescent="0.35">
      <c r="A11" t="s">
        <v>504</v>
      </c>
      <c r="B11" t="s">
        <v>507</v>
      </c>
      <c r="C11" t="s">
        <v>505</v>
      </c>
      <c r="D11" t="s">
        <v>506</v>
      </c>
    </row>
    <row r="12" spans="1:4" x14ac:dyDescent="0.35">
      <c r="A12" t="s">
        <v>508</v>
      </c>
      <c r="B12" t="s">
        <v>511</v>
      </c>
      <c r="C12" t="s">
        <v>509</v>
      </c>
      <c r="D12" t="s">
        <v>510</v>
      </c>
    </row>
    <row r="13" spans="1:4" x14ac:dyDescent="0.35">
      <c r="A13" t="s">
        <v>512</v>
      </c>
      <c r="B13" t="s">
        <v>515</v>
      </c>
      <c r="C13" t="s">
        <v>513</v>
      </c>
      <c r="D13" t="s">
        <v>514</v>
      </c>
    </row>
    <row r="14" spans="1:4" x14ac:dyDescent="0.35">
      <c r="A14" t="s">
        <v>516</v>
      </c>
      <c r="B14" t="s">
        <v>519</v>
      </c>
      <c r="C14" t="s">
        <v>517</v>
      </c>
      <c r="D14" t="s">
        <v>518</v>
      </c>
    </row>
    <row r="15" spans="1:4" x14ac:dyDescent="0.35">
      <c r="A15" t="s">
        <v>20</v>
      </c>
      <c r="B15" t="s">
        <v>522</v>
      </c>
      <c r="C15" t="s">
        <v>520</v>
      </c>
      <c r="D15" t="s">
        <v>521</v>
      </c>
    </row>
    <row r="16" spans="1:4" x14ac:dyDescent="0.35">
      <c r="A16" t="s">
        <v>523</v>
      </c>
      <c r="B16" t="s">
        <v>526</v>
      </c>
      <c r="C16" t="s">
        <v>524</v>
      </c>
      <c r="D16" t="s">
        <v>525</v>
      </c>
    </row>
    <row r="17" spans="1:4" x14ac:dyDescent="0.35">
      <c r="A17" t="s">
        <v>527</v>
      </c>
      <c r="B17" t="s">
        <v>530</v>
      </c>
      <c r="C17" t="s">
        <v>528</v>
      </c>
      <c r="D17" t="s">
        <v>529</v>
      </c>
    </row>
    <row r="18" spans="1:4" x14ac:dyDescent="0.35">
      <c r="A18" t="s">
        <v>531</v>
      </c>
      <c r="B18" t="s">
        <v>534</v>
      </c>
      <c r="C18" t="s">
        <v>532</v>
      </c>
      <c r="D18" t="s">
        <v>533</v>
      </c>
    </row>
    <row r="19" spans="1:4" x14ac:dyDescent="0.35">
      <c r="A19" t="s">
        <v>78</v>
      </c>
      <c r="B19" t="s">
        <v>537</v>
      </c>
      <c r="C19" t="s">
        <v>535</v>
      </c>
      <c r="D19" t="s">
        <v>536</v>
      </c>
    </row>
    <row r="20" spans="1:4" x14ac:dyDescent="0.35">
      <c r="A20" t="s">
        <v>538</v>
      </c>
      <c r="B20" t="s">
        <v>541</v>
      </c>
      <c r="C20" t="s">
        <v>539</v>
      </c>
      <c r="D20" t="s">
        <v>540</v>
      </c>
    </row>
    <row r="21" spans="1:4" x14ac:dyDescent="0.35">
      <c r="A21" t="s">
        <v>542</v>
      </c>
      <c r="B21" t="s">
        <v>545</v>
      </c>
      <c r="C21" t="s">
        <v>543</v>
      </c>
      <c r="D21" t="s">
        <v>544</v>
      </c>
    </row>
    <row r="22" spans="1:4" x14ac:dyDescent="0.35">
      <c r="A22" t="s">
        <v>546</v>
      </c>
      <c r="B22" t="s">
        <v>549</v>
      </c>
      <c r="C22" t="s">
        <v>547</v>
      </c>
      <c r="D22" t="s">
        <v>548</v>
      </c>
    </row>
    <row r="23" spans="1:4" x14ac:dyDescent="0.35">
      <c r="A23" t="s">
        <v>550</v>
      </c>
      <c r="B23" t="s">
        <v>553</v>
      </c>
      <c r="C23" t="s">
        <v>551</v>
      </c>
      <c r="D23" t="s">
        <v>552</v>
      </c>
    </row>
    <row r="24" spans="1:4" x14ac:dyDescent="0.35">
      <c r="A24" t="s">
        <v>554</v>
      </c>
      <c r="B24" t="s">
        <v>557</v>
      </c>
      <c r="C24" t="s">
        <v>555</v>
      </c>
      <c r="D24" t="s">
        <v>556</v>
      </c>
    </row>
    <row r="25" spans="1:4" x14ac:dyDescent="0.35">
      <c r="A25" t="s">
        <v>24</v>
      </c>
      <c r="B25" t="s">
        <v>560</v>
      </c>
      <c r="C25" t="s">
        <v>558</v>
      </c>
      <c r="D25" t="s">
        <v>559</v>
      </c>
    </row>
    <row r="26" spans="1:4" x14ac:dyDescent="0.35">
      <c r="A26" t="s">
        <v>23</v>
      </c>
      <c r="B26" t="s">
        <v>563</v>
      </c>
      <c r="C26" t="s">
        <v>561</v>
      </c>
      <c r="D26" t="s">
        <v>562</v>
      </c>
    </row>
    <row r="27" spans="1:4" x14ac:dyDescent="0.35">
      <c r="A27" t="s">
        <v>564</v>
      </c>
      <c r="B27" t="s">
        <v>567</v>
      </c>
      <c r="C27" t="s">
        <v>565</v>
      </c>
      <c r="D27" t="s">
        <v>566</v>
      </c>
    </row>
    <row r="28" spans="1:4" x14ac:dyDescent="0.35">
      <c r="A28" t="s">
        <v>568</v>
      </c>
      <c r="B28" t="s">
        <v>571</v>
      </c>
      <c r="C28" t="s">
        <v>569</v>
      </c>
      <c r="D28" t="s">
        <v>570</v>
      </c>
    </row>
    <row r="29" spans="1:4" x14ac:dyDescent="0.35">
      <c r="A29" t="s">
        <v>572</v>
      </c>
      <c r="B29" t="s">
        <v>575</v>
      </c>
      <c r="C29" t="s">
        <v>573</v>
      </c>
      <c r="D29" t="s">
        <v>574</v>
      </c>
    </row>
    <row r="30" spans="1:4" x14ac:dyDescent="0.35">
      <c r="A30" t="s">
        <v>104</v>
      </c>
      <c r="B30" t="s">
        <v>578</v>
      </c>
      <c r="C30" t="s">
        <v>576</v>
      </c>
      <c r="D30" t="s">
        <v>577</v>
      </c>
    </row>
    <row r="31" spans="1:4" x14ac:dyDescent="0.35">
      <c r="A31" t="s">
        <v>26</v>
      </c>
      <c r="B31" t="s">
        <v>581</v>
      </c>
      <c r="C31" t="s">
        <v>579</v>
      </c>
      <c r="D31" t="s">
        <v>580</v>
      </c>
    </row>
    <row r="32" spans="1:4" x14ac:dyDescent="0.35">
      <c r="A32" t="s">
        <v>25</v>
      </c>
      <c r="B32" t="s">
        <v>584</v>
      </c>
      <c r="C32" t="s">
        <v>582</v>
      </c>
      <c r="D32" t="s">
        <v>583</v>
      </c>
    </row>
    <row r="33" spans="1:4" x14ac:dyDescent="0.35">
      <c r="A33" t="s">
        <v>27</v>
      </c>
      <c r="B33" t="s">
        <v>587</v>
      </c>
      <c r="C33" t="s">
        <v>585</v>
      </c>
      <c r="D33" t="s">
        <v>586</v>
      </c>
    </row>
    <row r="34" spans="1:4" x14ac:dyDescent="0.35">
      <c r="A34" t="s">
        <v>28</v>
      </c>
      <c r="B34" t="s">
        <v>590</v>
      </c>
      <c r="C34" t="s">
        <v>588</v>
      </c>
      <c r="D34" t="s">
        <v>589</v>
      </c>
    </row>
    <row r="35" spans="1:4" x14ac:dyDescent="0.35">
      <c r="A35" t="s">
        <v>591</v>
      </c>
      <c r="B35" t="s">
        <v>594</v>
      </c>
      <c r="C35" t="s">
        <v>592</v>
      </c>
      <c r="D35" t="s">
        <v>593</v>
      </c>
    </row>
    <row r="36" spans="1:4" x14ac:dyDescent="0.35">
      <c r="A36" t="s">
        <v>595</v>
      </c>
      <c r="B36" t="s">
        <v>598</v>
      </c>
      <c r="C36" t="s">
        <v>596</v>
      </c>
      <c r="D36" t="s">
        <v>597</v>
      </c>
    </row>
    <row r="37" spans="1:4" x14ac:dyDescent="0.35">
      <c r="A37" t="s">
        <v>32</v>
      </c>
      <c r="B37" t="s">
        <v>601</v>
      </c>
      <c r="C37" t="s">
        <v>599</v>
      </c>
      <c r="D37" t="s">
        <v>600</v>
      </c>
    </row>
    <row r="38" spans="1:4" x14ac:dyDescent="0.35">
      <c r="A38" t="s">
        <v>33</v>
      </c>
      <c r="B38" t="s">
        <v>604</v>
      </c>
      <c r="C38" t="s">
        <v>602</v>
      </c>
      <c r="D38" t="s">
        <v>603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2026-03-03T15:51:42Z</dcterms:modified>
</cp:coreProperties>
</file>