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181" documentId="8_{33C6C299-611E-4211-942E-822619945D17}" xr6:coauthVersionLast="47" xr6:coauthVersionMax="47" xr10:uidLastSave="{902A1A86-D95C-4E5E-86E6-A628B2E3F863}"/>
  <bookViews>
    <workbookView xWindow="0" yWindow="380" windowWidth="19200" windowHeight="11180" xr2:uid="{6F94B64D-243B-49DA-AE87-045B34BFAB0F}"/>
  </bookViews>
  <sheets>
    <sheet name="scenarios" sheetId="1" r:id="rId1"/>
    <sheet name="annual_crops_FAO_GAEZ_data_path" sheetId="5" r:id="rId2"/>
    <sheet name="faogaez_yield_file_index" sheetId="6" r:id="rId3"/>
    <sheet name="Sheet1" sheetId="4" r:id="rId4"/>
    <sheet name="crop_naming" sheetId="2" r:id="rId5"/>
    <sheet name="spam_data" sheetId="3" r:id="rId6"/>
  </sheets>
  <definedNames>
    <definedName name="_xlnm._FilterDatabase" localSheetId="0" hidden="1">scenarios!$A$1:$T$24</definedName>
    <definedName name="_xlnm._FilterDatabase" localSheetId="5" hidden="1">spam_data!$A$1:$F$139</definedName>
    <definedName name="ExternalData_1" localSheetId="1" hidden="1">annual_crops_FAO_GAEZ_data_path!$A$1:$G$35</definedName>
    <definedName name="ExternalData_1" localSheetId="2" hidden="1">faogaez_yield_file_index!$A$1:$D$38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4752C-93C3-42EC-B4EE-968089ED2047}" keepAlive="1" name="Query - annual_crops_FAO_GAEZ_data_path" description="Connection to the 'annual_crops_FAO_GAEZ_data_path' query in the workbook." type="5" refreshedVersion="8" background="1" saveData="1">
    <dbPr connection="Provider=Microsoft.Mashup.OleDb.1;Data Source=$Workbook$;Location=annual_crops_FAO_GAEZ_data_path;Extended Properties=&quot;&quot;" command="SELECT * FROM [annual_crops_FAO_GAEZ_data_path]"/>
  </connection>
  <connection id="2" xr16:uid="{D8D4540A-6BA5-4BA1-A729-298DEADF2FD4}" keepAlive="1" name="Query - faogaez_yield_file_index" description="Connection to the 'faogaez_yield_file_index' query in the workbook." type="5" refreshedVersion="8" background="1" saveData="1">
    <dbPr connection="Provider=Microsoft.Mashup.OleDb.1;Data Source=$Workbook$;Location=faogaez_yield_file_index;Extended Properties=&quot;&quot;" command="SELECT * FROM [faogaez_yield_file_index]"/>
  </connection>
</connections>
</file>

<file path=xl/sharedStrings.xml><?xml version="1.0" encoding="utf-8"?>
<sst xmlns="http://schemas.openxmlformats.org/spreadsheetml/2006/main" count="2582" uniqueCount="619">
  <si>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</si>
  <si>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</si>
  <si>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</si>
  <si>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</si>
  <si>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</si>
  <si>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</si>
  <si>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</si>
  <si>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</si>
  <si>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</si>
  <si>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</si>
  <si>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</si>
  <si>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</si>
  <si>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</si>
  <si>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</si>
  <si>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</si>
  <si>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</si>
  <si>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</si>
  <si>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</si>
  <si>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</si>
  <si>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</si>
  <si>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</si>
  <si>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</si>
  <si>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</si>
  <si>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</si>
  <si>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</si>
  <si>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</si>
  <si>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</si>
  <si>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</si>
  <si>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</si>
  <si>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</si>
  <si>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</si>
  <si>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</si>
  <si>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</si>
  <si>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</si>
  <si>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</si>
  <si>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irr_ron</t>
  </si>
  <si>
    <t>irr_roff</t>
  </si>
  <si>
    <t>irr</t>
  </si>
  <si>
    <t>../data/land_use/lu_Irrigated_Rice.tif</t>
  </si>
  <si>
    <t>../LEAFs/SOC/rasters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</si>
  <si>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</si>
  <si>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</si>
  <si>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</si>
  <si>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</si>
  <si>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</si>
  <si>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</si>
  <si>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</si>
  <si>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</si>
  <si>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</si>
  <si>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</si>
  <si>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</si>
  <si>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</si>
  <si>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</si>
  <si>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</si>
  <si>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</si>
  <si>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</si>
  <si>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</si>
  <si>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</si>
  <si>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</si>
  <si>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</si>
  <si>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</si>
  <si>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</si>
  <si>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</si>
  <si>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</si>
  <si>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</si>
  <si>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</si>
  <si>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</si>
  <si>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</si>
  <si>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</si>
  <si>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</si>
  <si>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</si>
  <si>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</si>
  <si>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</si>
  <si>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</si>
  <si>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</si>
  <si>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</si>
  <si>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</si>
  <si>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</si>
  <si>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</si>
  <si>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</si>
  <si>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</si>
  <si>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</si>
  <si>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</si>
  <si>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</si>
  <si>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</si>
  <si>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</si>
  <si>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</si>
  <si>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</si>
  <si>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</si>
  <si>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</si>
  <si>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</si>
  <si>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</si>
  <si>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</si>
  <si>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</si>
  <si>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</si>
  <si>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</si>
  <si>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</si>
  <si>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</si>
  <si>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</si>
  <si>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</si>
  <si>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</si>
  <si>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</si>
  <si>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</si>
  <si>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</si>
  <si>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</si>
  <si>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</si>
  <si>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</si>
  <si>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</si>
  <si>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</si>
  <si>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</si>
  <si>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</si>
  <si>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</si>
  <si>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</si>
  <si>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</si>
  <si>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</si>
  <si>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</si>
  <si>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</si>
  <si>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</si>
  <si>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</si>
  <si>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</si>
  <si>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</si>
  <si>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</si>
  <si>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</si>
  <si>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</si>
  <si>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</si>
  <si>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</si>
  <si>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</si>
  <si>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</si>
  <si>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</si>
  <si>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</si>
  <si>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</si>
  <si>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</si>
  <si>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</si>
  <si>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</si>
  <si>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</si>
  <si>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</si>
  <si>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</si>
  <si>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</si>
  <si>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</si>
  <si>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</si>
  <si>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</si>
  <si>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</si>
  <si>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</si>
  <si>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</si>
  <si>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</si>
  <si>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</si>
  <si>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</si>
  <si>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</si>
  <si>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</si>
  <si>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</si>
  <si>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</si>
  <si>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</si>
  <si>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</si>
  <si>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</si>
  <si>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</si>
  <si>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</si>
  <si>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</si>
  <si>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</si>
  <si>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</si>
  <si>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</si>
  <si>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</si>
  <si>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</si>
  <si>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</si>
  <si>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</si>
  <si>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</si>
  <si>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</si>
  <si>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</si>
  <si>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</si>
  <si>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</si>
  <si>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</si>
  <si>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</si>
  <si>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</si>
  <si>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</si>
  <si>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</si>
  <si>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</si>
  <si>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</si>
  <si>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</si>
  <si>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</si>
  <si>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</si>
  <si>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</si>
  <si>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</si>
  <si>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</si>
  <si>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</si>
  <si>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</si>
  <si>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</si>
  <si>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</si>
  <si>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</si>
  <si>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</si>
  <si>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</si>
  <si>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</si>
  <si>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</si>
  <si>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</si>
  <si>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</si>
  <si>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</si>
  <si>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</si>
  <si>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</si>
  <si>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</si>
  <si>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</si>
  <si>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</si>
  <si>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</si>
  <si>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</si>
  <si>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</si>
  <si>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</si>
  <si>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</si>
  <si>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</si>
  <si>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</si>
  <si>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</si>
  <si>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</si>
  <si>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</si>
  <si>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</si>
  <si>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</si>
  <si>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</si>
  <si>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</si>
  <si>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</si>
  <si>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</si>
  <si>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</si>
  <si>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</si>
  <si>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</si>
  <si>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</si>
  <si>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</si>
  <si>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</si>
  <si>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</si>
  <si>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</si>
  <si>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</si>
  <si>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</si>
  <si>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</si>
  <si>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</si>
  <si>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</si>
  <si>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</si>
  <si>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</si>
  <si>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</si>
  <si>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</si>
  <si>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</si>
  <si>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</si>
  <si>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</si>
  <si>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</si>
  <si>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</si>
  <si>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</si>
  <si>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</si>
  <si>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</si>
  <si>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</si>
  <si>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</si>
  <si>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</si>
  <si>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</si>
  <si>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</si>
  <si>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</si>
  <si>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</si>
  <si>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</si>
  <si>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</si>
  <si>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</si>
  <si>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</si>
  <si>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</si>
  <si>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</si>
  <si>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</si>
  <si>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</si>
  <si>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</si>
  <si>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</si>
  <si>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</si>
  <si>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</si>
  <si>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</si>
  <si>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</si>
  <si>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</si>
  <si>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</si>
  <si>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</si>
  <si>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</si>
  <si>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</si>
  <si>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</si>
  <si>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</si>
  <si>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</si>
  <si>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</si>
  <si>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</si>
  <si>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</si>
  <si>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</si>
  <si>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</si>
  <si>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</si>
  <si>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</si>
  <si>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</si>
  <si>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</si>
  <si>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</si>
  <si>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</si>
  <si>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</si>
  <si>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</si>
  <si>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</si>
  <si>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</si>
  <si>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</si>
  <si>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</si>
  <si>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</si>
  <si>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</si>
  <si>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</si>
  <si>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</si>
  <si>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</si>
  <si>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</si>
  <si>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</si>
  <si>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</si>
  <si>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</si>
  <si>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</si>
  <si>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</si>
  <si>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</si>
  <si>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</si>
  <si>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</si>
  <si>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</si>
  <si>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</si>
  <si>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</si>
  <si>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</si>
  <si>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</si>
  <si>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</si>
  <si>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</si>
  <si>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</si>
  <si>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</si>
  <si>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</si>
  <si>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</si>
  <si>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</si>
  <si>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</si>
  <si>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</si>
  <si>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</si>
  <si>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</si>
  <si>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</si>
  <si>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</si>
  <si>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</si>
  <si>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</si>
  <si>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</si>
  <si>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</si>
  <si>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</si>
  <si>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</si>
  <si>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</si>
  <si>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</si>
  <si>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</si>
  <si>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</si>
  <si>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</si>
  <si>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</si>
  <si>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</si>
  <si>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../data/crops/rothc_support/Rice_irr_pet_monthly.tif</t>
  </si>
  <si>
    <t>../data/crops/rothc_support/Rice_irr_pc_monthly.tif</t>
  </si>
  <si>
    <t>../data/crops/rothc_support/Rice_irr_irr_monthly.tif</t>
  </si>
  <si>
    <t>../data/crops/spam2020V2r0_global_yield/spam2020_V2r0_global_Y_ONIO_I.tif</t>
  </si>
  <si>
    <t>../data/crops/spam2020V2r0_global_yield/spam2020_V2r0_global_Y_ONIO_A.tif</t>
  </si>
  <si>
    <t>../data/crops/spam2020V2r0_global_yield/spam2020_V2r0_global_Y_ONIO_R.tif</t>
  </si>
  <si>
    <t>practices_string_id</t>
  </si>
  <si>
    <t>force_new_file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</si>
  <si>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</si>
  <si>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projects\SBTN_Test\data\land_use\FAO_GAEZ/lu_gaez_Barley_irr_roff.tif</t>
  </si>
  <si>
    <t>crop_type</t>
  </si>
  <si>
    <t>crop_practice_string</t>
  </si>
  <si>
    <t>lu_path</t>
  </si>
  <si>
    <t>pet_path</t>
  </si>
  <si>
    <t>irr_path</t>
  </si>
  <si>
    <t>plantcover_path</t>
  </si>
  <si>
    <t>annual</t>
  </si>
  <si>
    <t>C:\Users\loyola\OneDrive - World Wildlife Fund, Inc\Documents\203. Python projects\SBTN_Test\data\crops\rothc_support\FAO_GAEZ\Barley_irr_ron_pet_monthly.tif</t>
  </si>
  <si>
    <t>C:\Users\loyola\OneDrive - World Wildlife Fund, Inc\Documents\203. Python projects\SBTN_Test\data\crops\rothc_support\FAO_GAEZ\Barley_irr_ron_irr_monthly.tif</t>
  </si>
  <si>
    <t>C:\Users\loyola\OneDrive - World Wildlife Fund, Inc\Documents\203. Python projects\SBTN_Test\data\crops\rothc_support\FAO_GAEZ\Barley_irr_ron_pc_monthly.tif</t>
  </si>
  <si>
    <t>C:\Users\loyola\OneDrive - World Wildlife Fund, Inc\Documents\203. Python projects\SBTN_Test\data\land_use\FAO_GAEZ/lu_gaez_Cabbage_irr.tif</t>
  </si>
  <si>
    <t>C:\Users\loyola\OneDrive - World Wildlife Fund, Inc\Documents\203. Python projects\SBTN_Test\data\crops\rothc_support\FAO_GAEZ\Cabbage_irr_pet_monthly.tif</t>
  </si>
  <si>
    <t>C:\Users\loyola\OneDrive - World Wildlife Fund, Inc\Documents\203. Python projects\SBTN_Test\data\crops\rothc_support\FAO_GAEZ\Cabbage_irr_irr_monthly.tif</t>
  </si>
  <si>
    <t>C:\Users\loyola\OneDrive - World Wildlife Fund, Inc\Documents\203. Python projects\SBTN_Test\data\crops\rothc_support\FAO_GAEZ\Cabbage_irr_pc_monthly.tif</t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</si>
  <si>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</si>
  <si>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projects\SBTN_Test\data\crops\rothc_support\FAO_GAEZ\Carrot_irr_pet_monthly.tif</t>
  </si>
  <si>
    <t>C:\Users\loyola\OneDrive - World Wildlife Fund, Inc\Documents\203. Python projects\SBTN_Test\data\crops\rothc_support\FAO_GAEZ\Carrot_irr_irr_monthly.tif</t>
  </si>
  <si>
    <t>C:\Users\loyola\OneDrive - World Wildlife Fund, Inc\Documents\203. Python projects\SBTN_Test\data\crops\rothc_support\FAO_GAEZ\Carrot_irr_pc_monthly.tif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</si>
  <si>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</si>
  <si>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projects\SBTN_Test\data\crops\rothc_support\FAO_GAEZ\Cotton_irr_pet_monthly.tif</t>
  </si>
  <si>
    <t>C:\Users\loyola\OneDrive - World Wildlife Fund, Inc\Documents\203. Python projects\SBTN_Test\data\crops\rothc_support\FAO_GAEZ\Cotton_irr_irr_monthly.tif</t>
  </si>
  <si>
    <t>C:\Users\loyola\OneDrive - World Wildlife Fund, Inc\Documents\203. Python projects\SBTN_Test\data\crops\rothc_support\FAO_GAEZ\Cotton_irr_pc_monthly.tif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</si>
  <si>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</si>
  <si>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projects\SBTN_Test\data\crops\rothc_support\FAO_GAEZ\Maize_irr_ron_pet_monthly.tif</t>
  </si>
  <si>
    <t>C:\Users\loyola\OneDrive - World Wildlife Fund, Inc\Documents\203. Python projects\SBTN_Test\data\crops\rothc_support\FAO_GAEZ\Maize_irr_ron_irr_monthly.tif</t>
  </si>
  <si>
    <t>C:\Users\loyola\OneDrive - World Wildlife Fund, Inc\Documents\203. Python projects\SBTN_Test\data\crops\rothc_support\FAO_GAEZ\Maize_irr_ron_pc_monthly.tif</t>
  </si>
  <si>
    <t>C:\Users\loyola\OneDrive - World Wildlife Fund, Inc\Documents\203. Python projects\SBTN_Test\data\land_use\FAO_GAEZ/lu_gaez_Onion_irr.tif</t>
  </si>
  <si>
    <t>C:\Users\loyola\OneDrive - World Wildlife Fund, Inc\Documents\203. Python projects\SBTN_Test\data\crops\rothc_support\FAO_GAEZ\Onion_irr_pet_monthly.tif</t>
  </si>
  <si>
    <t>C:\Users\loyola\OneDrive - World Wildlife Fund, Inc\Documents\203. Python projects\SBTN_Test\data\crops\rothc_support\FAO_GAEZ\Onion_irr_irr_monthly.tif</t>
  </si>
  <si>
    <t>C:\Users\loyola\OneDrive - World Wildlife Fund, Inc\Documents\203. Python projects\SBTN_Test\data\crops\rothc_support\FAO_GAEZ\Onion_irr_pc_monthly.tif</t>
  </si>
  <si>
    <t>C:\Users\loyola\OneDrive - World Wildlife Fund, Inc\Documents\203. Python projects\SBTN_Test\data\land_use\FAO_GAEZ/lu_gaez_Potato_irr.tif</t>
  </si>
  <si>
    <t>C:\Users\loyola\OneDrive - World Wildlife Fund, Inc\Documents\203. Python projects\SBTN_Test\data\crops\rothc_support\FAO_GAEZ\Potato_irr_pet_monthly.tif</t>
  </si>
  <si>
    <t>C:\Users\loyola\OneDrive - World Wildlife Fund, Inc\Documents\203. Python projects\SBTN_Test\data\crops\rothc_support\FAO_GAEZ\Potato_irr_irr_monthly.tif</t>
  </si>
  <si>
    <t>C:\Users\loyola\OneDrive - World Wildlife Fund, Inc\Documents\203. Python projects\SBTN_Test\data\crops\rothc_support\FAO_GAEZ\Potato_irr_pc_monthly.tif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</si>
  <si>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</si>
  <si>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projects\SBTN_Test\data\crops\rothc_support\FAO_GAEZ\Rapeseed_irr_ron_pet_monthly.tif</t>
  </si>
  <si>
    <t>C:\Users\loyola\OneDrive - World Wildlife Fund, Inc\Documents\203. Python projects\SBTN_Test\data\crops\rothc_support\FAO_GAEZ\Rapeseed_irr_ron_irr_monthly.tif</t>
  </si>
  <si>
    <t>C:\Users\loyola\OneDrive - World Wildlife Fund, Inc\Documents\203. Python projects\SBTN_Test\data\crops\rothc_support\FAO_GAEZ\Rapeseed_irr_ron_pc_monthly.tif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</si>
  <si>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</si>
  <si>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projects\SBTN_Test\data\crops\rothc_support\FAO_GAEZ\Sorghum_irr_ron_pet_monthly.tif</t>
  </si>
  <si>
    <t>C:\Users\loyola\OneDrive - World Wildlife Fund, Inc\Documents\203. Python projects\SBTN_Test\data\crops\rothc_support\FAO_GAEZ\Sorghum_irr_ron_irr_monthly.tif</t>
  </si>
  <si>
    <t>C:\Users\loyola\OneDrive - World Wildlife Fund, Inc\Documents\203. Python projects\SBTN_Test\data\crops\rothc_support\FAO_GAEZ\Sorghum_irr_ron_pc_monthly.tif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</si>
  <si>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</si>
  <si>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projects\SBTN_Test\data\crops\rothc_support\FAO_GAEZ\Soybean_irr_pet_monthly.tif</t>
  </si>
  <si>
    <t>C:\Users\loyola\OneDrive - World Wildlife Fund, Inc\Documents\203. Python projects\SBTN_Test\data\crops\rothc_support\FAO_GAEZ\Soybean_irr_irr_monthly.tif</t>
  </si>
  <si>
    <t>C:\Users\loyola\OneDrive - World Wildlife Fund, Inc\Documents\203. Python projects\SBTN_Test\data\crops\rothc_support\FAO_GAEZ\Soybean_irr_pc_monthly.tif</t>
  </si>
  <si>
    <t>C:\Users\loyola\OneDrive - World Wildlife Fund, Inc\Documents\203. Python projects\SBTN_Test\data\land_use\FAO_GAEZ/lu_gaez_Sugar beet_irr.tif</t>
  </si>
  <si>
    <t>C:\Users\loyola\OneDrive - World Wildlife Fund, Inc\Documents\203. Python projects\SBTN_Test\data\crops\rothc_support\FAO_GAEZ\Sugar beet_irr_pet_monthly.tif</t>
  </si>
  <si>
    <t>C:\Users\loyola\OneDrive - World Wildlife Fund, Inc\Documents\203. Python projects\SBTN_Test\data\crops\rothc_support\FAO_GAEZ\Sugar beet_irr_irr_monthly.tif</t>
  </si>
  <si>
    <t>C:\Users\loyola\OneDrive - World Wildlife Fund, Inc\Documents\203. Python projects\SBTN_Test\data\crops\rothc_support\FAO_GAEZ\Sugar beet_irr_pc_monthly.tif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</si>
  <si>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</si>
  <si>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projects\SBTN_Test\data\crops\rothc_support\FAO_GAEZ\Sunflower_irr_pet_monthly.tif</t>
  </si>
  <si>
    <t>C:\Users\loyola\OneDrive - World Wildlife Fund, Inc\Documents\203. Python projects\SBTN_Test\data\crops\rothc_support\FAO_GAEZ\Sunflower_irr_irr_monthly.tif</t>
  </si>
  <si>
    <t>C:\Users\loyola\OneDrive - World Wildlife Fund, Inc\Documents\203. Python projects\SBTN_Test\data\crops\rothc_support\FAO_GAEZ\Sunflower_irr_pc_monthly.tif</t>
  </si>
  <si>
    <t>C:\Users\loyola\OneDrive - World Wildlife Fund, Inc\Documents\203. Python projects\SBTN_Test\data\land_use\FAO_GAEZ/lu_gaez_Sweet potato_irr.tif</t>
  </si>
  <si>
    <t>C:\Users\loyola\OneDrive - World Wildlife Fund, Inc\Documents\203. Python projects\SBTN_Test\data\crops\rothc_support\FAO_GAEZ\Sweet potato_irr_pet_monthly.tif</t>
  </si>
  <si>
    <t>C:\Users\loyola\OneDrive - World Wildlife Fund, Inc\Documents\203. Python projects\SBTN_Test\data\crops\rothc_support\FAO_GAEZ\Sweet potato_irr_irr_monthly.tif</t>
  </si>
  <si>
    <t>C:\Users\loyola\OneDrive - World Wildlife Fund, Inc\Documents\203. Python projects\SBTN_Test\data\crops\rothc_support\FAO_GAEZ\Sweet potato_irr_pc_monthly.tif</t>
  </si>
  <si>
    <t>C:\Users\loyola\OneDrive - World Wildlife Fund, Inc\Documents\203. Python projects\SBTN_Test\data\land_use\FAO_GAEZ/lu_gaez_Tobacco_irr.tif</t>
  </si>
  <si>
    <t>C:\Users\loyola\OneDrive - World Wildlife Fund, Inc\Documents\203. Python projects\SBTN_Test\data\crops\rothc_support\FAO_GAEZ\Tobacco_irr_pet_monthly.tif</t>
  </si>
  <si>
    <t>C:\Users\loyola\OneDrive - World Wildlife Fund, Inc\Documents\203. Python projects\SBTN_Test\data\crops\rothc_support\FAO_GAEZ\Tobacco_irr_irr_monthly.tif</t>
  </si>
  <si>
    <t>C:\Users\loyola\OneDrive - World Wildlife Fund, Inc\Documents\203. Python projects\SBTN_Test\data\crops\rothc_support\FAO_GAEZ\Tobacco_irr_pc_monthly.tif</t>
  </si>
  <si>
    <t>C:\Users\loyola\OneDrive - World Wildlife Fund, Inc\Documents\203. Python projects\SBTN_Test\data\land_use\FAO_GAEZ/lu_gaez_Tomato_irr.tif</t>
  </si>
  <si>
    <t>C:\Users\loyola\OneDrive - World Wildlife Fund, Inc\Documents\203. Python projects\SBTN_Test\data\crops\rothc_support\FAO_GAEZ\Tomato_irr_pet_monthly.tif</t>
  </si>
  <si>
    <t>C:\Users\loyola\OneDrive - World Wildlife Fund, Inc\Documents\203. Python projects\SBTN_Test\data\crops\rothc_support\FAO_GAEZ\Tomato_irr_irr_monthly.tif</t>
  </si>
  <si>
    <t>C:\Users\loyola\OneDrive - World Wildlife Fund, Inc\Documents\203. Python projects\SBTN_Test\data\crops\rothc_support\FAO_GAEZ\Tomato_irr_pc_monthly.tif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</si>
  <si>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</si>
  <si>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projects\SBTN_Test\data\crops\rothc_support\FAO_GAEZ\Wheat_irr_ron_pet_monthly.tif</t>
  </si>
  <si>
    <t>C:\Users\loyola\OneDrive - World Wildlife Fund, Inc\Documents\203. Python projects\SBTN_Test\data\crops\rothc_support\FAO_GAEZ\Wheat_irr_ron_irr_monthly.tif</t>
  </si>
  <si>
    <t>C:\Users\loyola\OneDrive - World Wildlife Fund, Inc\Documents\203. Python projects\SBTN_Test\data\crops\rothc_support\FAO_GAEZ\Wheat_irr_ron_pc_monthly.tif</t>
  </si>
  <si>
    <t>rf_ron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</si>
  <si>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</si>
  <si>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projects\SBTN_Test\data\crops\rothc_support\FAO_GAEZ\Barley_rf_ron_pet_monthly.tif</t>
  </si>
  <si>
    <t/>
  </si>
  <si>
    <t>C:\Users\loyola\OneDrive - World Wildlife Fund, Inc\Documents\203. Python projects\SBTN_Test\data\crops\rothc_support\FAO_GAEZ\Barley_rf_ron_pc_monthly.tif</t>
  </si>
  <si>
    <t>rf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</si>
  <si>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</si>
  <si>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projects\SBTN_Test\data\crops\rothc_support\FAO_GAEZ\Cotton_rf_pet_monthly.tif</t>
  </si>
  <si>
    <t>C:\Users\loyola\OneDrive - World Wildlife Fund, Inc\Documents\203. Python projects\SBTN_Test\data\crops\rothc_support\FAO_GAEZ\Cotton_rf_pc_monthly.tif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</si>
  <si>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</si>
  <si>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projects\SBTN_Test\data\crops\rothc_support\FAO_GAEZ\Maize_rf_ron_pet_monthly.tif</t>
  </si>
  <si>
    <t>C:\Users\loyola\OneDrive - World Wildlife Fund, Inc\Documents\203. Python projects\SBTN_Test\data\crops\rothc_support\FAO_GAEZ\Maize_rf_ron_pc_monthly.tif</t>
  </si>
  <si>
    <t>C:\Users\loyola\OneDrive - World Wildlife Fund, Inc\Documents\203. Python projects\SBTN_Test\data\land_use\FAO_GAEZ/lu_gaez_Potato_rf.tif</t>
  </si>
  <si>
    <t>C:\Users\loyola\OneDrive - World Wildlife Fund, Inc\Documents\203. Python projects\SBTN_Test\data\crops\rothc_support\FAO_GAEZ\Potato_rf_pet_monthly.tif</t>
  </si>
  <si>
    <t>C:\Users\loyola\OneDrive - World Wildlife Fund, Inc\Documents\203. Python projects\SBTN_Test\data\crops\rothc_support\FAO_GAEZ\Potato_rf_pc_monthly.tif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</si>
  <si>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</si>
  <si>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projects\SBTN_Test\data\crops\rothc_support\FAO_GAEZ\Rapeseed_rf_ron_pet_monthly.tif</t>
  </si>
  <si>
    <t>C:\Users\loyola\OneDrive - World Wildlife Fund, Inc\Documents\203. Python projects\SBTN_Test\data\crops\rothc_support\FAO_GAEZ\Rapeseed_rf_ron_pc_monthly.tif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</si>
  <si>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</si>
  <si>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projects\SBTN_Test\data\crops\rothc_support\FAO_GAEZ\Soybean_rf_pet_monthly.tif</t>
  </si>
  <si>
    <t>C:\Users\loyola\OneDrive - World Wildlife Fund, Inc\Documents\203. Python projects\SBTN_Test\data\crops\rothc_support\FAO_GAEZ\Soybean_rf_pc_monthly.tif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</si>
  <si>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</si>
  <si>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projects\SBTN_Test\data\crops\rothc_support\FAO_GAEZ\Sunflower_rf_pet_monthly.tif</t>
  </si>
  <si>
    <t>C:\Users\loyola\OneDrive - World Wildlife Fund, Inc\Documents\203. Python projects\SBTN_Test\data\crops\rothc_support\FAO_GAEZ\Sunflower_rf_pc_monthly.tif</t>
  </si>
  <si>
    <t>C:\Users\loyola\OneDrive - World Wildlife Fund, Inc\Documents\203. Python projects\SBTN_Test\data\land_use\FAO_GAEZ/lu_gaez_Sweet potato_rf.tif</t>
  </si>
  <si>
    <t>C:\Users\loyola\OneDrive - World Wildlife Fund, Inc\Documents\203. Python projects\SBTN_Test\data\crops\rothc_support\FAO_GAEZ\Sweet potato_rf_pet_monthly.tif</t>
  </si>
  <si>
    <t>C:\Users\loyola\OneDrive - World Wildlife Fund, Inc\Documents\203. Python projects\SBTN_Test\data\crops\rothc_support\FAO_GAEZ\Sweet potato_rf_pc_monthly.tif</t>
  </si>
  <si>
    <t>C:\Users\loyola\OneDrive - World Wildlife Fund, Inc\Documents\203. Python projects\SBTN_Test\data\land_use\FAO_GAEZ/lu_gaez_Tobacco_rf.tif</t>
  </si>
  <si>
    <t>C:\Users\loyola\OneDrive - World Wildlife Fund, Inc\Documents\203. Python projects\SBTN_Test\data\crops\rothc_support\FAO_GAEZ\Tobacco_rf_pet_monthly.tif</t>
  </si>
  <si>
    <t>C:\Users\loyola\OneDrive - World Wildlife Fund, Inc\Documents\203. Python projects\SBTN_Test\data\crops\rothc_support\FAO_GAEZ\Tobacco_rf_pc_monthly.tif</t>
  </si>
  <si>
    <t>C:\Users\loyola\OneDrive - World Wildlife Fund, Inc\Documents\203. Python projects\SBTN_Test\data\land_use\FAO_GAEZ/lu_gaez_Tomato_rf.tif</t>
  </si>
  <si>
    <t>C:\Users\loyola\OneDrive - World Wildlife Fund, Inc\Documents\203. Python projects\SBTN_Test\data\crops\rothc_support\FAO_GAEZ\Tomato_rf_pet_monthly.tif</t>
  </si>
  <si>
    <t>C:\Users\loyola\OneDrive - World Wildlife Fund, Inc\Documents\203. Python projects\SBTN_Test\data\crops\rothc_support\FAO_GAEZ\Tomato_rf_pc_monthly.tif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</si>
  <si>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</si>
  <si>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projects\SBTN_Test\data\crops\rothc_support\FAO_GAEZ\Wheat_rf_ron_pet_monthly.tif</t>
  </si>
  <si>
    <t>C:\Users\loyola\OneDrive - World Wildlife Fund, Inc\Documents\203. Python projects\SBTN_Test\data\crops\rothc_support\FAO_GAEZ\Wheat_rf_ron_pc_monthly.tif</t>
  </si>
  <si>
    <t>C:\Users\loyola\OneDrive - World Wildlife Fund, Inc\Documents\203. Python projects\SBTN_Test\data\land_use\FAO_GAEZ/lu_gaez_Groundnut_irr.tif</t>
  </si>
  <si>
    <t>C:\Users\loyola\OneDrive - World Wildlife Fund, Inc\Documents\203. Python projects\SBTN_Test\data\crops\rothc_support\FAO_GAEZ\Groundnut_irr_pet_monthly.tif</t>
  </si>
  <si>
    <t>C:\Users\loyola\OneDrive - World Wildlife Fund, Inc\Documents\203. Python projects\SBTN_Test\data\crops\rothc_support\FAO_GAEZ\Groundnut_irr_irr_monthly.tif</t>
  </si>
  <si>
    <t>C:\Users\loyola\OneDrive - World Wildlife Fund, Inc\Documents\203. Python projects\SBTN_Test\data\crops\rothc_support\FAO_GAEZ\Groundnut_irr_pc_monthly.tif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</si>
  <si>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</si>
  <si>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projects\SBTN_Test\data\crops\rothc_support\FAO_GAEZ\Groundnut_rf_pet_monthly.tif</t>
  </si>
  <si>
    <t>C:\Users\loyola\OneDrive - World Wildlife Fund, Inc\Documents\203. Python projects\SBTN_Test\data\crops\rothc_support\FAO_GAEZ\Groundnut_rf_pc_monthly.tif</t>
  </si>
  <si>
    <t>C:\Users\loyola\OneDrive - World Wildlife Fund, Inc\Documents\203. Python projects\SBTN_Test\data\crops\rothc_support\FAO_GAEZ\Barley_irr_roff_pet_monthly.tif</t>
  </si>
  <si>
    <t>C:\Users\loyola\OneDrive - World Wildlife Fund, Inc\Documents\203. Python projects\SBTN_Test\data\crops\rothc_support\FAO_GAEZ\Barley_irr_roff_irr_monthly.tif</t>
  </si>
  <si>
    <t>C:\Users\loyola\OneDrive - World Wildlife Fund, Inc\Documents\203. Python projects\SBTN_Test\data\crops\rothc_support\FAO_GAEZ\Barley_irr_roff_pc_monthly.tif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</si>
  <si>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</si>
  <si>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projects\SBTN_Test\data\crops\rothc_support\FAO_GAEZ\Maize_irr_roff_pet_monthly.tif</t>
  </si>
  <si>
    <t>C:\Users\loyola\OneDrive - World Wildlife Fund, Inc\Documents\203. Python projects\SBTN_Test\data\crops\rothc_support\FAO_GAEZ\Maize_irr_roff_irr_monthly.tif</t>
  </si>
  <si>
    <t>C:\Users\loyola\OneDrive - World Wildlife Fund, Inc\Documents\203. Python projects\SBTN_Test\data\crops\rothc_support\FAO_GAEZ\Maize_irr_roff_pc_monthly.tif</t>
  </si>
  <si>
    <t>C:\Users\loyola\OneDrive - World Wildlife Fund, Inc\Documents\203. Python projects\SBTN_Test\data\crops\rothc_support\FAO_GAEZ\Rapeseed_irr_roff_pet_monthly.tif</t>
  </si>
  <si>
    <t>C:\Users\loyola\OneDrive - World Wildlife Fund, Inc\Documents\203. Python projects\SBTN_Test\data\crops\rothc_support\FAO_GAEZ\Rapeseed_irr_roff_irr_monthly.tif</t>
  </si>
  <si>
    <t>C:\Users\loyola\OneDrive - World Wildlife Fund, Inc\Documents\203. Python projects\SBTN_Test\data\crops\rothc_support\FAO_GAEZ\Rapeseed_irr_roff_pc_monthly.tif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</si>
  <si>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</si>
  <si>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projects\SBTN_Test\data\crops\rothc_support\FAO_GAEZ\Sorghum_irr_roff_pet_monthly.tif</t>
  </si>
  <si>
    <t>C:\Users\loyola\OneDrive - World Wildlife Fund, Inc\Documents\203. Python projects\SBTN_Test\data\crops\rothc_support\FAO_GAEZ\Sorghum_irr_roff_irr_monthly.tif</t>
  </si>
  <si>
    <t>C:\Users\loyola\OneDrive - World Wildlife Fund, Inc\Documents\203. Python projects\SBTN_Test\data\crops\rothc_support\FAO_GAEZ\Sorghum_irr_roff_pc_monthly.tif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</si>
  <si>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</si>
  <si>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projects\SBTN_Test\data\crops\rothc_support\FAO_GAEZ\Wheat_irr_roff_pet_monthly.tif</t>
  </si>
  <si>
    <t>C:\Users\loyola\OneDrive - World Wildlife Fund, Inc\Documents\203. Python projects\SBTN_Test\data\crops\rothc_support\FAO_GAEZ\Wheat_irr_roff_irr_monthly.tif</t>
  </si>
  <si>
    <t>C:\Users\loyola\OneDrive - World Wildlife Fund, Inc\Documents\203. Python projects\SBTN_Test\data\crops\rothc_support\FAO_GAEZ\Wheat_irr_roff_pc_monthly.tif</t>
  </si>
  <si>
    <t>Total</t>
  </si>
  <si>
    <t>Banana and plantain</t>
  </si>
  <si>
    <t>C:\Users\loyola\OneDrive - World Wildlife Fund, Inc\Documents\203. Python projects\SBTN_Test\data\crops\FAO_GAEZ\YIELDS\GAEZ-V5.RES06-YLD.BAN.WSI.tif</t>
  </si>
  <si>
    <t>C:\Users\loyola\OneDrive - World Wildlife Fund, Inc\Documents\203. Python projects\SBTN_Test\data\crops\FAO_GAEZ\YIELDS\GAEZ-V5.RES06-YLD.BAN.WSR.tif</t>
  </si>
  <si>
    <t>C:\Users\loyola\OneDrive - World Wildlife Fund, Inc\Documents\203. Python projects\SBTN_Test\data\crops\FAO_GAEZ\YIELDS\GAEZ-V5.RES06-YLD.BAN.WST.tif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</si>
  <si>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</si>
  <si>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</si>
  <si>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C:\Users\loyola\OneDrive - World Wildlife Fund, Inc\Documents\203. Python projects\SBTN_Test\data\crops\FAO_GAEZ\YIELDS\GAEZ-V5.RES06-YLD.BRL.WST.tif</t>
  </si>
  <si>
    <t>Cereals</t>
  </si>
  <si>
    <t>C:\Users\loyola\OneDrive - World Wildlife Fund, Inc\Documents\203. Python projects\SBTN_Test\data\crops\FAO_GAEZ\YIELDS\GAEZ-V5.RES06-YLD.CER.WSI.tif</t>
  </si>
  <si>
    <t>C:\Users\loyola\OneDrive - World Wildlife Fund, Inc\Documents\203. Python projects\SBTN_Test\data\crops\FAO_GAEZ\YIELDS\GAEZ-V5.RES06-YLD.CER.WSR.tif</t>
  </si>
  <si>
    <t>C:\Users\loyola\OneDrive - World Wildlife Fund, Inc\Documents\203. Python projects\SBTN_Test\data\crops\FAO_GAEZ\YIELDS\GAEZ-V5.RES06-YLD.CER.WST.tif</t>
  </si>
  <si>
    <t>C:\Users\loyola\OneDrive - World Wildlife Fund, Inc\Documents\203. Python projects\SBTN_Test\data\crops\FAO_GAEZ\YIELDS\GAEZ-V5.RES06-YLD.COC.WSI.tif</t>
  </si>
  <si>
    <t>C:\Users\loyola\OneDrive - World Wildlife Fund, Inc\Documents\203. Python projects\SBTN_Test\data\crops\FAO_GAEZ\YIELDS\GAEZ-V5.RES06-YLD.COC.WSR.tif</t>
  </si>
  <si>
    <t>C:\Users\loyola\OneDrive - World Wildlife Fund, Inc\Documents\203. Python projects\SBTN_Test\data\crops\FAO_GAEZ\YIELDS\GAEZ-V5.RES06-YLD.COC.WST.tif</t>
  </si>
  <si>
    <t>C:\Users\loyola\OneDrive - World Wildlife Fund, Inc\Documents\203. Python projects\SBTN_Test\data\crops\FAO_GAEZ\YIELDS\GAEZ-V5.RES06-YLD.COF.WSI.tif</t>
  </si>
  <si>
    <t>C:\Users\loyola\OneDrive - World Wildlife Fund, Inc\Documents\203. Python projects\SBTN_Test\data\crops\FAO_GAEZ\YIELDS\GAEZ-V5.RES06-YLD.COF.WSR.tif</t>
  </si>
  <si>
    <t>C:\Users\loyola\OneDrive - World Wildlife Fund, Inc\Documents\203. Python projects\SBTN_Test\data\crops\FAO_GAEZ\YIELDS\GAEZ-V5.RES06-YLD.COF.WST.tif</t>
  </si>
  <si>
    <t>C:\Users\loyola\OneDrive - World Wildlife Fund, Inc\Documents\203. Python projects\SBTN_Test\data\crops\FAO_GAEZ\YIELDS\GAEZ-V5.RES06-YLD.CON.WSI.tif</t>
  </si>
  <si>
    <t>C:\Users\loyola\OneDrive - World Wildlife Fund, Inc\Documents\203. Python projects\SBTN_Test\data\crops\FAO_GAEZ\YIELDS\GAEZ-V5.RES06-YLD.CON.WSR.tif</t>
  </si>
  <si>
    <t>C:\Users\loyola\OneDrive - World Wildlife Fund, Inc\Documents\203. Python projects\SBTN_Test\data\crops\FAO_GAEZ\YIELDS\GAEZ-V5.RES06-YLD.CON.WST.tif</t>
  </si>
  <si>
    <t>Seed cotton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</si>
  <si>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</si>
  <si>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</si>
  <si>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</si>
  <si>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projects\SBTN_Test\data\crops\FAO_GAEZ\YIELDS\GAEZ-V5.RES06-YLD.CSV.WSI.tif</t>
  </si>
  <si>
    <t>C:\Users\loyola\OneDrive - World Wildlife Fund, Inc\Documents\203. Python projects\SBTN_Test\data\crops\FAO_GAEZ\YIELDS\GAEZ-V5.RES06-YLD.CSV.WSR.tif</t>
  </si>
  <si>
    <t>C:\Users\loyola\OneDrive - World Wildlife Fund, Inc\Documents\203. Python projects\SBTN_Test\data\crops\FAO_GAEZ\YIELDS\GAEZ-V5.RES06-YLD.CSV.WST.tif</t>
  </si>
  <si>
    <t>Fodder crops</t>
  </si>
  <si>
    <t>C:\Users\loyola\OneDrive - World Wildlife Fund, Inc\Documents\203. Python projects\SBTN_Test\data\crops\FAO_GAEZ\YIELDS\GAEZ-V5.RES06-YLD.FDD.WSI.tif</t>
  </si>
  <si>
    <t>C:\Users\loyola\OneDrive - World Wildlife Fund, Inc\Documents\203. Python projects\SBTN_Test\data\crops\FAO_GAEZ\YIELDS\GAEZ-V5.RES06-YLD.FDD.WSR.tif</t>
  </si>
  <si>
    <t>C:\Users\loyola\OneDrive - World Wildlife Fund, Inc\Documents\203. Python projects\SBTN_Test\data\crops\FAO_GAEZ\YIELDS\GAEZ-V5.RES06-YLD.FDD.WST.tif</t>
  </si>
  <si>
    <t>Fruits and nuts</t>
  </si>
  <si>
    <t>C:\Users\loyola\OneDrive - World Wildlife Fund, Inc\Documents\203. Python projects\SBTN_Test\data\crops\FAO_GAEZ\YIELDS\GAEZ-V5.RES06-YLD.FRT.WSI.tif</t>
  </si>
  <si>
    <t>C:\Users\loyola\OneDrive - World Wildlife Fund, Inc\Documents\203. Python projects\SBTN_Test\data\crops\FAO_GAEZ\YIELDS\GAEZ-V5.RES06-YLD.FRT.WSR.tif</t>
  </si>
  <si>
    <t>C:\Users\loyola\OneDrive - World Wildlife Fund, Inc\Documents\203. Python projects\SBTN_Test\data\crops\FAO_GAEZ\YIELDS\GAEZ-V5.RES06-YLD.FRT.WST.tif</t>
  </si>
  <si>
    <t>Groundnuts (with shell)</t>
  </si>
  <si>
    <t>C:\Users\loyola\OneDrive - World Wildlife Fund, Inc\Documents\203. Python projects\SBTN_Test\data\crops\FAO_GAEZ\YIELDS\GAEZ-V5.RES06-YLD.GRD.WSI.tif</t>
  </si>
  <si>
    <t>C:\Users\loyola\OneDrive - World Wildlife Fund, Inc\Documents\203. Python projects\SBTN_Test\data\crops\FAO_GAEZ\YIELDS\GAEZ-V5.RES06-YLD.GRD.WSR.tif</t>
  </si>
  <si>
    <t>C:\Users\loyola\OneDrive - World Wildlife Fund, Inc\Documents\203. Python projects\SBTN_Test\data\crops\FAO_GAEZ\YIELDS\GAEZ-V5.RES06-YLD.GRD.WST.tif</t>
  </si>
  <si>
    <t>Major crops</t>
  </si>
  <si>
    <t>C:\Users\loyola\OneDrive - World Wildlife Fund, Inc\Documents\203. Python projects\SBTN_Test\data\crops\FAO_GAEZ\YIELDS\GAEZ-V5.RES06-YLD.MAJ.WSI.tif</t>
  </si>
  <si>
    <t>C:\Users\loyola\OneDrive - World Wildlife Fund, Inc\Documents\203. Python projects\SBTN_Test\data\crops\FAO_GAEZ\YIELDS\GAEZ-V5.RES06-YLD.MAJ.WSR.tif</t>
  </si>
  <si>
    <t>C:\Users\loyola\OneDrive - World Wildlife Fund, Inc\Documents\203. Python projects\SBTN_Test\data\crops\FAO_GAEZ\YIELDS\GAEZ-V5.RES06-YLD.MAJ.WST.tif</t>
  </si>
  <si>
    <t>Millet</t>
  </si>
  <si>
    <t>C:\Users\loyola\OneDrive - World Wildlife Fund, Inc\Documents\203. Python projects\SBTN_Test\data\crops\FAO_GAEZ\YIELDS\GAEZ-V5.RES06-YLD.MLT.WSI.tif</t>
  </si>
  <si>
    <t>C:\Users\loyola\OneDrive - World Wildlife Fund, Inc\Documents\203. Python projects\SBTN_Test\data\crops\FAO_GAEZ\YIELDS\GAEZ-V5.RES06-YLD.MLT.WSR.tif</t>
  </si>
  <si>
    <t>C:\Users\loyola\OneDrive - World Wildlife Fund, Inc\Documents\203. Python projects\SBTN_Test\data\crops\FAO_GAEZ\YIELDS\GAEZ-V5.RES06-YLD.MLT.WST.tif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</si>
  <si>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</si>
  <si>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</si>
  <si>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projects\SBTN_Test\data\crops\FAO_GAEZ\YIELDS\GAEZ-V5.RES06-YLD.MZE.WST.tif</t>
  </si>
  <si>
    <t>All other crops not elsewhere included (mainly spices, fibre crops)</t>
  </si>
  <si>
    <t>C:\Users\loyola\OneDrive - World Wildlife Fund, Inc\Documents\203. Python projects\SBTN_Test\data\crops\FAO_GAEZ\YIELDS\GAEZ-V5.RES06-YLD.NES.WSI.tif</t>
  </si>
  <si>
    <t>C:\Users\loyola\OneDrive - World Wildlife Fund, Inc\Documents\203. Python projects\SBTN_Test\data\crops\FAO_GAEZ\YIELDS\GAEZ-V5.RES06-YLD.NES.WSR.tif</t>
  </si>
  <si>
    <t>C:\Users\loyola\OneDrive - World Wildlife Fund, Inc\Documents\203. Python projects\SBTN_Test\data\crops\FAO_GAEZ\YIELDS\GAEZ-V5.RES06-YLD.NES.WST.tif</t>
  </si>
  <si>
    <t>Other cereals (oats, rye, buckwheat and other minor grains)</t>
  </si>
  <si>
    <t>C:\Users\loyola\OneDrive - World Wildlife Fund, Inc\Documents\203. Python projects\SBTN_Test\data\crops\FAO_GAEZ\YIELDS\GAEZ-V5.RES06-YLD.OCE.WSI.tif</t>
  </si>
  <si>
    <t>C:\Users\loyola\OneDrive - World Wildlife Fund, Inc\Documents\203. Python projects\SBTN_Test\data\crops\FAO_GAEZ\YIELDS\GAEZ-V5.RES06-YLD.OCE.WSR.tif</t>
  </si>
  <si>
    <t>C:\Users\loyola\OneDrive - World Wildlife Fund, Inc\Documents\203. Python projects\SBTN_Test\data\crops\FAO_GAEZ\YIELDS\GAEZ-V5.RES06-YLD.OCE.WST.tif</t>
  </si>
  <si>
    <t>Oil crops</t>
  </si>
  <si>
    <t>C:\Users\loyola\OneDrive - World Wildlife Fund, Inc\Documents\203. Python projects\SBTN_Test\data\crops\FAO_GAEZ\YIELDS\GAEZ-V5.RES06-YLD.OIL.WSI.tif</t>
  </si>
  <si>
    <t>C:\Users\loyola\OneDrive - World Wildlife Fund, Inc\Documents\203. Python projects\SBTN_Test\data\crops\FAO_GAEZ\YIELDS\GAEZ-V5.RES06-YLD.OIL.WSR.tif</t>
  </si>
  <si>
    <t>C:\Users\loyola\OneDrive - World Wildlife Fund, Inc\Documents\203. Python projects\SBTN_Test\data\crops\FAO_GAEZ\YIELDS\GAEZ-V5.RES06-YLD.OIL.WST.tif</t>
  </si>
  <si>
    <t>C:\Users\loyola\OneDrive - World Wildlife Fund, Inc\Documents\203. Python projects\SBTN_Test\data\crops\FAO_GAEZ\YIELDS\GAEZ-V5.RES06-YLD.OLP.WSI.tif</t>
  </si>
  <si>
    <t>C:\Users\loyola\OneDrive - World Wildlife Fund, Inc\Documents\203. Python projects\SBTN_Test\data\crops\FAO_GAEZ\YIELDS\GAEZ-V5.RES06-YLD.OLP.WSR.tif</t>
  </si>
  <si>
    <t>C:\Users\loyola\OneDrive - World Wildlife Fund, Inc\Documents\203. Python projects\SBTN_Test\data\crops\FAO_GAEZ\YIELDS\GAEZ-V5.RES06-YLD.OLP.WST.tif</t>
  </si>
  <si>
    <t>Olives and other minor oil crops</t>
  </si>
  <si>
    <t>C:\Users\loyola\OneDrive - World Wildlife Fund, Inc\Documents\203. Python projects\SBTN_Test\data\crops\FAO_GAEZ\YIELDS\GAEZ-V5.RES06-YLD.OOC.WSI.tif</t>
  </si>
  <si>
    <t>C:\Users\loyola\OneDrive - World Wildlife Fund, Inc\Documents\203. Python projects\SBTN_Test\data\crops\FAO_GAEZ\YIELDS\GAEZ-V5.RES06-YLD.OOC.WSR.tif</t>
  </si>
  <si>
    <t>C:\Users\loyola\OneDrive - World Wildlife Fund, Inc\Documents\203. Python projects\SBTN_Test\data\crops\FAO_GAEZ\YIELDS\GAEZ-V5.RES06-YLD.OOC.WST.tif</t>
  </si>
  <si>
    <t>Yams (and other minor root crops)</t>
  </si>
  <si>
    <t>C:\Users\loyola\OneDrive - World Wildlife Fund, Inc\Documents\203. Python projects\SBTN_Test\data\crops\FAO_GAEZ\YIELDS\GAEZ-V5.RES06-YLD.ORT.WSI.tif</t>
  </si>
  <si>
    <t>C:\Users\loyola\OneDrive - World Wildlife Fund, Inc\Documents\203. Python projects\SBTN_Test\data\crops\FAO_GAEZ\YIELDS\GAEZ-V5.RES06-YLD.ORT.WSR.tif</t>
  </si>
  <si>
    <t>C:\Users\loyola\OneDrive - World Wildlife Fund, Inc\Documents\203. Python projects\SBTN_Test\data\crops\FAO_GAEZ\YIELDS\GAEZ-V5.RES06-YLD.ORT.WST.tif</t>
  </si>
  <si>
    <t>Other vegetables (i.e. all vegetables except tomato)</t>
  </si>
  <si>
    <t>C:\Users\loyola\OneDrive - World Wildlife Fund, Inc\Documents\203. Python projects\SBTN_Test\data\crops\FAO_GAEZ\YIELDS\GAEZ-V5.RES06-YLD.OVG.WSI.tif</t>
  </si>
  <si>
    <t>C:\Users\loyola\OneDrive - World Wildlife Fund, Inc\Documents\203. Python projects\SBTN_Test\data\crops\FAO_GAEZ\YIELDS\GAEZ-V5.RES06-YLD.OVG.WSR.tif</t>
  </si>
  <si>
    <t>C:\Users\loyola\OneDrive - World Wildlife Fund, Inc\Documents\203. Python projects\SBTN_Test\data\crops\FAO_GAEZ\YIELDS\GAEZ-V5.RES06-YLD.OVG.WST.tif</t>
  </si>
  <si>
    <t>Pulses</t>
  </si>
  <si>
    <t>C:\Users\loyola\OneDrive - World Wildlife Fund, Inc\Documents\203. Python projects\SBTN_Test\data\crops\FAO_GAEZ\YIELDS\GAEZ-V5.RES06-YLD.PLS.WSI.tif</t>
  </si>
  <si>
    <t>C:\Users\loyola\OneDrive - World Wildlife Fund, Inc\Documents\203. Python projects\SBTN_Test\data\crops\FAO_GAEZ\YIELDS\GAEZ-V5.RES06-YLD.PLS.WSR.tif</t>
  </si>
  <si>
    <t>C:\Users\loyola\OneDrive - World Wildlife Fund, Inc\Documents\203. Python projects\SBTN_Test\data\crops\FAO_GAEZ\YIELDS\GAEZ-V5.RES06-YLD.PLS.WST.tif</t>
  </si>
  <si>
    <t>White potato and sweet potato</t>
  </si>
  <si>
    <t>C:\Users\loyola\OneDrive - World Wildlife Fund, Inc\Documents\203. Python projects\SBTN_Test\data\crops\FAO_GAEZ\YIELDS\GAEZ-V5.RES06-YLD.POT.WSI.tif</t>
  </si>
  <si>
    <t>C:\Users\loyola\OneDrive - World Wildlife Fund, Inc\Documents\203. Python projects\SBTN_Test\data\crops\FAO_GAEZ\YIELDS\GAEZ-V5.RES06-YLD.POT.WSR.tif</t>
  </si>
  <si>
    <t>C:\Users\loyola\OneDrive - World Wildlife Fund, Inc\Documents\203. Python projects\SBTN_Test\data\crops\FAO_GAEZ\YIELDS\GAEZ-V5.RES06-YLD.POT.WST.tif</t>
  </si>
  <si>
    <t>C:\Users\loyola\OneDrive - World Wildlife Fund, Inc\Documents\203. Python projects\SBTN_Test\data\crops\FAO_GAEZ\YIELDS\GAEZ-V5.RES06-YLD.RCW.WSI.tif</t>
  </si>
  <si>
    <t>C:\Users\loyola\OneDrive - World Wildlife Fund, Inc\Documents\203. Python projects\SBTN_Test\data\crops\FAO_GAEZ\YIELDS\GAEZ-V5.RES06-YLD.RCW.WSR.tif</t>
  </si>
  <si>
    <t>C:\Users\loyola\OneDrive - World Wildlife Fund, Inc\Documents\203. Python projects\SBTN_Test\data\crops\FAO_GAEZ\YIELDS\GAEZ-V5.RES06-YLD.RCW.WST.tif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</si>
  <si>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</si>
  <si>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</si>
  <si>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projects\SBTN_Test\data\crops\FAO_GAEZ\YIELDS\GAEZ-V5.RES06-YLD.RSD.WST.tif</t>
  </si>
  <si>
    <t>Root and tuber crops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</si>
  <si>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</si>
  <si>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</si>
  <si>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projects\SBTN_Test\data\crops\FAO_GAEZ\YIELDS\GAEZ-V5.RES06-YLD.RTS.WST.tif</t>
  </si>
  <si>
    <t>Para rubber</t>
  </si>
  <si>
    <t>C:\Users\loyola\OneDrive - World Wildlife Fund, Inc\Documents\203. Python projects\SBTN_Test\data\crops\FAO_GAEZ\YIELDS\GAEZ-V5.RES06-YLD.RUB.WSI.tif</t>
  </si>
  <si>
    <t>C:\Users\loyola\OneDrive - World Wildlife Fund, Inc\Documents\203. Python projects\SBTN_Test\data\crops\FAO_GAEZ\YIELDS\GAEZ-V5.RES06-YLD.RUB.WSR.tif</t>
  </si>
  <si>
    <t>C:\Users\loyola\OneDrive - World Wildlife Fund, Inc\Documents\203. Python projects\SBTN_Test\data\crops\FAO_GAEZ\YIELDS\GAEZ-V5.RES06-YLD.RUB.WST.tif</t>
  </si>
  <si>
    <t>Sesame seed</t>
  </si>
  <si>
    <t>C:\Users\loyola\OneDrive - World Wildlife Fund, Inc\Documents\203. Python projects\SBTN_Test\data\crops\FAO_GAEZ\YIELDS\GAEZ-V5.RES06-YLD.SES.WSI.tif</t>
  </si>
  <si>
    <t>C:\Users\loyola\OneDrive - World Wildlife Fund, Inc\Documents\203. Python projects\SBTN_Test\data\crops\FAO_GAEZ\YIELDS\GAEZ-V5.RES06-YLD.SES.WSR.tif</t>
  </si>
  <si>
    <t>C:\Users\loyola\OneDrive - World Wildlife Fund, Inc\Documents\203. Python projects\SBTN_Test\data\crops\FAO_GAEZ\YIELDS\GAEZ-V5.RES06-YLD.SES.WST.tif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</si>
  <si>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</si>
  <si>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</si>
  <si>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</si>
  <si>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</si>
  <si>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</si>
  <si>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</si>
  <si>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</si>
  <si>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</si>
  <si>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</si>
  <si>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projects\SBTN_Test\data\crops\FAO_GAEZ\YIELDS\GAEZ-V5.RES06-YLD.SUB.WSI.tif</t>
  </si>
  <si>
    <t>C:\Users\loyola\OneDrive - World Wildlife Fund, Inc\Documents\203. Python projects\SBTN_Test\data\crops\FAO_GAEZ\YIELDS\GAEZ-V5.RES06-YLD.SUB.WSR.tif</t>
  </si>
  <si>
    <t>C:\Users\loyola\OneDrive - World Wildlife Fund, Inc\Documents\203. Python projects\SBTN_Test\data\crops\FAO_GAEZ\YIELDS\GAEZ-V5.RES06-YLD.SUB.WST.tif</t>
  </si>
  <si>
    <t>C:\Users\loyola\OneDrive - World Wildlife Fund, Inc\Documents\203. Python projects\SBTN_Test\data\crops\FAO_GAEZ\YIELDS\GAEZ-V5.RES06-YLD.SUC.WSI.tif</t>
  </si>
  <si>
    <t>C:\Users\loyola\OneDrive - World Wildlife Fund, Inc\Documents\203. Python projects\SBTN_Test\data\crops\FAO_GAEZ\YIELDS\GAEZ-V5.RES06-YLD.SUC.WSR.tif</t>
  </si>
  <si>
    <t>C:\Users\loyola\OneDrive - World Wildlife Fund, Inc\Documents\203. Python projects\SBTN_Test\data\crops\FAO_GAEZ\YIELDS\GAEZ-V5.RES06-YLD.SUC.WST.tif</t>
  </si>
  <si>
    <t>Tea and mate leaves</t>
  </si>
  <si>
    <t>C:\Users\loyola\OneDrive - World Wildlife Fund, Inc\Documents\203. Python projects\SBTN_Test\data\crops\FAO_GAEZ\YIELDS\GAEZ-V5.RES06-YLD.TEA.WSI.tif</t>
  </si>
  <si>
    <t>C:\Users\loyola\OneDrive - World Wildlife Fund, Inc\Documents\203. Python projects\SBTN_Test\data\crops\FAO_GAEZ\YIELDS\GAEZ-V5.RES06-YLD.TEA.WSR.tif</t>
  </si>
  <si>
    <t>C:\Users\loyola\OneDrive - World Wildlife Fund, Inc\Documents\203. Python projects\SBTN_Test\data\crops\FAO_GAEZ\YIELDS\GAEZ-V5.RES06-YLD.TEA.WST.tif</t>
  </si>
  <si>
    <t>Tobacco leaves</t>
  </si>
  <si>
    <t>C:\Users\loyola\OneDrive - World Wildlife Fund, Inc\Documents\203. Python projects\SBTN_Test\data\crops\FAO_GAEZ\YIELDS\GAEZ-V5.RES06-YLD.TOB.WSI.tif</t>
  </si>
  <si>
    <t>C:\Users\loyola\OneDrive - World Wildlife Fund, Inc\Documents\203. Python projects\SBTN_Test\data\crops\FAO_GAEZ\YIELDS\GAEZ-V5.RES06-YLD.TOB.WSR.tif</t>
  </si>
  <si>
    <t>C:\Users\loyola\OneDrive - World Wildlife Fund, Inc\Documents\203. Python projects\SBTN_Test\data\crops\FAO_GAEZ\YIELDS\GAEZ-V5.RES06-YLD.TOB.WST.tif</t>
  </si>
  <si>
    <t>C:\Users\loyola\OneDrive - World Wildlife Fund, Inc\Documents\203. Python projects\SBTN_Test\data\crops\FAO_GAEZ\YIELDS\GAEZ-V5.RES06-YLD.TOM.WSI.tif</t>
  </si>
  <si>
    <t>C:\Users\loyola\OneDrive - World Wildlife Fund, Inc\Documents\203. Python projects\SBTN_Test\data\crops\FAO_GAEZ\YIELDS\GAEZ-V5.RES06-YLD.TOM.WSR.tif</t>
  </si>
  <si>
    <t>C:\Users\loyola\OneDrive - World Wildlife Fund, Inc\Documents\203. Python projects\SBTN_Test\data\crops\FAO_GAEZ\YIELDS\GAEZ-V5.RES06-YLD.TOM.WST.tif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</si>
  <si>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</si>
  <si>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</si>
  <si>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projects\SBTN_Test\data\crops\FAO_GAEZ\YIELDS\GAEZ-V5.RES06-YLD.WHE.WST.tif</t>
  </si>
  <si>
    <t>SPAM</t>
  </si>
  <si>
    <t>GAEZ</t>
  </si>
  <si>
    <t>ylds_src</t>
  </si>
  <si>
    <t>outlier_strategy</t>
  </si>
  <si>
    <t>percentile_bound</t>
  </si>
  <si>
    <t>log_winsor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</si>
  <si>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</si>
  <si>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ylds_crop_raster</t>
  </si>
  <si>
    <t>ylds_all_fp</t>
  </si>
  <si>
    <t>ylds_irr_fp</t>
  </si>
  <si>
    <t>ylds_rf_fp</t>
  </si>
  <si>
    <t>apply_local_zscore</t>
  </si>
  <si>
    <t>apply_soc_clip</t>
  </si>
  <si>
    <t>yield_global_percentile_cap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</si>
</sst>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A9B1D6"/>
      <name val="Consolas"/>
      <family val="3"/>
    </font>
    <font>
      <sz val="7"/>
      <color rgb="FFFF9E64"/>
      <name val="Consolas"/>
      <family val="3"/>
    </font>
    <font>
      <sz val="7"/>
      <color rgb="FF89DDFF"/>
      <name val="Consolas"/>
      <family val="3"/>
    </font>
    <font>
      <i/>
      <sz val="7"/>
      <color rgb="FFFF7ED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2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1998A-C0AD-4389-AF82-8EB4CD6480DB}" autoFormatId="16" applyNumberFormats="0" applyBorderFormats="0" applyFontFormats="0" applyPatternFormats="0" applyAlignmentFormats="0" applyWidthHeightFormats="0">
  <queryTableRefresh nextId="9">
    <queryTableFields count="7">
      <queryTableField id="1" name="crop_name" tableColumnId="1"/>
      <queryTableField id="2" name="crop_type" tableColumnId="2"/>
      <queryTableField id="3" name="crop_practice_string" tableColumnId="3"/>
      <queryTableField id="4" name="lu_path" tableColumnId="4"/>
      <queryTableField id="5" name="pet_path" tableColumnId="5"/>
      <queryTableField id="7" name="plantcover_path" tableColumnId="7"/>
      <queryTableField id="6" name="irr_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FA13B7-EE0A-494E-A51D-CC258A243049}" autoFormatId="16" applyNumberFormats="0" applyBorderFormats="0" applyFontFormats="0" applyPatternFormats="0" applyAlignmentFormats="0" applyWidthHeightFormats="0">
  <queryTableRefresh nextId="6">
    <queryTableFields count="4">
      <queryTableField id="1" name="crop_name" tableColumnId="1"/>
      <queryTableField id="4" name="Total" tableColumnId="4"/>
      <queryTableField id="2" name="Irrigated" tableColumnId="2"/>
      <queryTableField id="3" name="Rainf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91DDE-E19A-49AD-8F82-EC07469068EF}" name="annual_crops_FAO_GAEZ_data_path" displayName="annual_crops_FAO_GAEZ_data_path" ref="A1:G35" tableType="queryTable" totalsRowShown="0">
  <autoFilter ref="A1:G35" xr:uid="{72891DDE-E19A-49AD-8F82-EC07469068EF}">
    <filterColumn colId="2">
      <filters>
        <filter val="irr"/>
        <filter val="irr_roff"/>
        <filter val="irr_ron"/>
      </filters>
    </filterColumn>
  </autoFilter>
  <sortState xmlns:xlrd2="http://schemas.microsoft.com/office/spreadsheetml/2017/richdata2" ref="A2:G35">
    <sortCondition ref="A1:A35"/>
  </sortState>
  <tableColumns count="7">
    <tableColumn id="1" xr3:uid="{E0631E69-C317-4297-8C8A-4C0BD37498C3}" uniqueName="1" name="crop_name" queryTableFieldId="1" dataDxfId="10"/>
    <tableColumn id="2" xr3:uid="{A5250CAA-A281-4C41-B05D-6B00918948FF}" uniqueName="2" name="crop_type" queryTableFieldId="2" dataDxfId="9"/>
    <tableColumn id="3" xr3:uid="{2AFDA106-048C-47FC-BF14-5A2A6BBC2413}" uniqueName="3" name="crop_practice_string" queryTableFieldId="3" dataDxfId="8"/>
    <tableColumn id="4" xr3:uid="{C232AB10-9AEA-4A04-97F2-1FA1E31706F3}" uniqueName="4" name="lu_path" queryTableFieldId="4" dataDxfId="7"/>
    <tableColumn id="5" xr3:uid="{A87BFA85-E67B-46E3-A07E-58F351EF81E8}" uniqueName="5" name="pet_path" queryTableFieldId="5" dataDxfId="6"/>
    <tableColumn id="7" xr3:uid="{DDFACB43-74A4-4927-B924-2F367DED961A}" uniqueName="7" name="plantcover_path" queryTableFieldId="7" dataDxfId="5"/>
    <tableColumn id="6" xr3:uid="{0BB7A6CC-4C5F-4D5F-A0F1-E60A5C793730}" uniqueName="6" name="irr_path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34EB5-4FC7-4C68-8B36-4D3895B2B0F9}" name="faogaez_yield_file_index" displayName="faogaez_yield_file_index" ref="A1:D38" tableType="queryTable" totalsRowShown="0">
  <autoFilter ref="A1:D38" xr:uid="{98134EB5-4FC7-4C68-8B36-4D3895B2B0F9}"/>
  <tableColumns count="4">
    <tableColumn id="1" xr3:uid="{ADF3AAD2-0599-4AFE-AD9A-5F303825BA71}" uniqueName="1" name="crop_name" queryTableFieldId="1" dataDxfId="3"/>
    <tableColumn id="4" xr3:uid="{1EA4A42F-4E64-4963-8E26-E37689F82BF6}" uniqueName="4" name="Total" queryTableFieldId="4" dataDxfId="2"/>
    <tableColumn id="2" xr3:uid="{362A9A91-4915-4CF9-B147-899AB17FA649}" uniqueName="2" name="Irrigated" queryTableFieldId="2" dataDxfId="1"/>
    <tableColumn id="3" xr3:uid="{1B4D9ED0-DBE6-4551-A5A3-20E9B1D3E0CC}" uniqueName="3" name="Rainf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AD24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A1" sqref="AA1"/>
    </sheetView>
  </sheetViews>
  <sheetFormatPr defaultRowHeight="14.5" x14ac:dyDescent="0.35"/>
  <cols>
    <col min="1" max="1" width="11.36328125" bestFit="1" customWidth="1"/>
    <col min="2" max="2" width="14.1796875" bestFit="1" customWidth="1"/>
    <col min="3" max="3" width="3.6328125" customWidth="1"/>
    <col min="4" max="4" width="7" customWidth="1"/>
    <col min="6" max="6" width="18.26953125" bestFit="1" customWidth="1"/>
    <col min="7" max="7" width="18.81640625" customWidth="1"/>
    <col min="8" max="8" width="63.6328125" bestFit="1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337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612</v>
      </c>
      <c r="R1" s="2" t="s">
        <v>613</v>
      </c>
      <c r="S1" s="2" t="s">
        <v>614</v>
      </c>
      <c r="T1" s="2" t="s">
        <v>615</v>
      </c>
      <c r="U1" s="2" t="s">
        <v>338</v>
      </c>
      <c r="V1" s="2" t="s">
        <v>607</v>
      </c>
      <c r="W1" s="2" t="s">
        <v>608</v>
      </c>
      <c r="X1" s="8" t="s">
        <v>609</v>
      </c>
      <c r="Y1" s="2" t="s">
        <v>616</v>
      </c>
      <c r="Z1" s="9" t="s">
        <v>617</v>
      </c>
      <c r="AA1" s="9" t="s">
        <v>618</v>
      </c>
      <c r="AB1" s="9"/>
      <c r="AC1" s="9"/>
      <c r="AD1" s="9"/>
    </row>
    <row r="2" spans="1:30" x14ac:dyDescent="0.35">
      <c r="A2" t="s">
        <v>15</v>
      </c>
      <c r="B2" t="s">
        <v>34</v>
      </c>
      <c r="C2" t="s">
        <v>37</v>
      </c>
      <c r="D2" t="s">
        <v>35</v>
      </c>
      <c r="E2">
        <v>14</v>
      </c>
      <c r="F2" t="s">
        <v>39</v>
      </c>
      <c r="G2" t="str">
        <f>+"RothC results for year 2030 for "&amp;A2&amp;"_"&amp;D2&amp;" in ton C/ha"</f>
        <v>RothC results for year 2030 for Barley_irr_ron in ton C/ha</v>
      </c>
      <c r="H2" s="3" t="s">
        <v>339</v>
      </c>
      <c r="I2" s="3" t="s">
        <v>348</v>
      </c>
      <c r="J2" s="3" t="s">
        <v>350</v>
      </c>
      <c r="K2" s="4" t="s">
        <v>349</v>
      </c>
      <c r="N2" t="b">
        <v>0</v>
      </c>
      <c r="O2" t="b">
        <v>0</v>
      </c>
      <c r="P2">
        <v>100</v>
      </c>
      <c r="Q2" t="str">
        <f>+S2</f>
        <v>C:\Users\loyola\OneDrive - World Wildlife Fund, Inc\Documents\203. Python projects\SBTN_Test\data\crops\FAO_GAEZ\YIELDS\GAEZ-V5.RES06-YLD.BRL.WSI.tif</v>
      </c>
      <c r="R2" s="5" t="s">
        <v>479</v>
      </c>
      <c r="S2" s="5" t="s">
        <v>477</v>
      </c>
      <c r="T2" s="6" t="s">
        <v>478</v>
      </c>
      <c r="U2" t="b">
        <v>0</v>
      </c>
      <c r="V2" s="7" t="s">
        <v>606</v>
      </c>
      <c r="W2" t="s">
        <v>610</v>
      </c>
      <c r="X2" t="s">
        <v>611</v>
      </c>
      <c r="Y2" t="b">
        <v>1</v>
      </c>
      <c r="Z2" t="b">
        <v>0</v>
      </c>
      <c r="AA2">
        <v>99</v>
      </c>
    </row>
    <row r="3" spans="1:30" x14ac:dyDescent="0.35">
      <c r="A3" t="s">
        <v>15</v>
      </c>
      <c r="B3" t="s">
        <v>34</v>
      </c>
      <c r="C3" t="s">
        <v>37</v>
      </c>
      <c r="D3" t="s">
        <v>36</v>
      </c>
      <c r="E3">
        <v>14</v>
      </c>
      <c r="F3" t="s">
        <v>39</v>
      </c>
      <c r="G3" t="str">
        <f>+"RothC results for year 2030 for "&amp;A3&amp;"_"&amp;D3&amp;" in ton C/ha"</f>
        <v>RothC results for year 2030 for Barley_irr_roff in ton C/ha</v>
      </c>
      <c r="H3" s="5" t="s">
        <v>340</v>
      </c>
      <c r="I3" s="5" t="s">
        <v>454</v>
      </c>
      <c r="J3" s="5" t="s">
        <v>456</v>
      </c>
      <c r="K3" s="6" t="s">
        <v>455</v>
      </c>
      <c r="N3" t="b">
        <v>0</v>
      </c>
      <c r="O3" t="b">
        <v>0</v>
      </c>
      <c r="P3">
        <v>100</v>
      </c>
      <c r="Q3" t="str">
        <f t="shared" ref="Q3:Q24" si="0">+S3</f>
        <v>C:\Users\loyola\OneDrive - World Wildlife Fund, Inc\Documents\203. Python projects\SBTN_Test\data\crops\FAO_GAEZ\YIELDS\GAEZ-V5.RES06-YLD.BRL.WSI.tif</v>
      </c>
      <c r="R3" s="5" t="s">
        <v>479</v>
      </c>
      <c r="S3" s="5" t="s">
        <v>477</v>
      </c>
      <c r="T3" s="6" t="s">
        <v>478</v>
      </c>
      <c r="U3" t="b">
        <v>0</v>
      </c>
      <c r="V3" s="7" t="s">
        <v>606</v>
      </c>
      <c r="W3" t="s">
        <v>610</v>
      </c>
      <c r="X3" t="s">
        <v>611</v>
      </c>
    </row>
    <row r="4" spans="1:30" x14ac:dyDescent="0.35">
      <c r="A4" t="s">
        <v>16</v>
      </c>
      <c r="B4" t="s">
        <v>34</v>
      </c>
      <c r="C4" t="s">
        <v>37</v>
      </c>
      <c r="D4" t="s">
        <v>37</v>
      </c>
      <c r="E4">
        <v>14</v>
      </c>
      <c r="F4" t="s">
        <v>39</v>
      </c>
      <c r="G4" t="str">
        <f t="shared" ref="G4:G24" si="1">+"RothC results for year 2030 for "&amp;A4&amp;"_"&amp;D4&amp;" in ton C/ha"</f>
        <v>RothC results for year 2030 for Cabbage_irr in ton C/ha</v>
      </c>
      <c r="H4" s="3" t="s">
        <v>351</v>
      </c>
      <c r="I4" s="3" t="s">
        <v>352</v>
      </c>
      <c r="J4" s="3" t="s">
        <v>354</v>
      </c>
      <c r="K4" s="4" t="s">
        <v>353</v>
      </c>
      <c r="N4" t="b">
        <v>0</v>
      </c>
      <c r="O4" t="b">
        <v>0</v>
      </c>
      <c r="P4">
        <v>100</v>
      </c>
      <c r="Q4" t="str">
        <f t="shared" si="0"/>
        <v>C:\Users\loyola\OneDrive - World Wildlife Fund, Inc\Documents\203. Python projects\SBTN_Test\data\crops\FAO_GAEZ\YIELDS\GAEZ-V5.RES06-YLD.OVG.WSI.tif</v>
      </c>
      <c r="R4" s="3" t="s">
        <v>549</v>
      </c>
      <c r="S4" s="3" t="s">
        <v>547</v>
      </c>
      <c r="T4" s="4" t="s">
        <v>548</v>
      </c>
      <c r="U4" t="b">
        <v>0</v>
      </c>
      <c r="V4" s="7" t="s">
        <v>606</v>
      </c>
      <c r="W4" t="s">
        <v>610</v>
      </c>
      <c r="X4" t="s">
        <v>611</v>
      </c>
    </row>
    <row r="5" spans="1:30" x14ac:dyDescent="0.35">
      <c r="A5" t="s">
        <v>17</v>
      </c>
      <c r="B5" t="s">
        <v>34</v>
      </c>
      <c r="C5" t="s">
        <v>37</v>
      </c>
      <c r="D5" t="s">
        <v>37</v>
      </c>
      <c r="E5">
        <v>14</v>
      </c>
      <c r="F5" t="s">
        <v>39</v>
      </c>
      <c r="G5" t="str">
        <f t="shared" si="1"/>
        <v>RothC results for year 2030 for Carrot_irr in ton C/ha</v>
      </c>
      <c r="H5" s="5" t="s">
        <v>355</v>
      </c>
      <c r="I5" s="5" t="s">
        <v>356</v>
      </c>
      <c r="J5" s="5" t="s">
        <v>358</v>
      </c>
      <c r="K5" s="6" t="s">
        <v>357</v>
      </c>
      <c r="N5" t="b">
        <v>0</v>
      </c>
      <c r="O5" t="b">
        <v>0</v>
      </c>
      <c r="P5">
        <v>100</v>
      </c>
      <c r="Q5" t="str">
        <f t="shared" si="0"/>
        <v>C:\Users\loyola\OneDrive - World Wildlife Fund, Inc\Documents\203. Python projects\SBTN_Test\data\crops\FAO_GAEZ\YIELDS\GAEZ-V5.RES06-YLD.RTS.WSI.tif</v>
      </c>
      <c r="R5" s="5" t="s">
        <v>567</v>
      </c>
      <c r="S5" s="5" t="s">
        <v>565</v>
      </c>
      <c r="T5" s="6" t="s">
        <v>566</v>
      </c>
      <c r="U5" t="b">
        <v>0</v>
      </c>
      <c r="V5" s="7" t="s">
        <v>606</v>
      </c>
      <c r="W5" t="s">
        <v>610</v>
      </c>
      <c r="X5" t="s">
        <v>611</v>
      </c>
    </row>
    <row r="6" spans="1:30" x14ac:dyDescent="0.35">
      <c r="A6" t="s">
        <v>18</v>
      </c>
      <c r="B6" t="s">
        <v>34</v>
      </c>
      <c r="C6" t="s">
        <v>37</v>
      </c>
      <c r="D6" t="s">
        <v>37</v>
      </c>
      <c r="E6">
        <v>14</v>
      </c>
      <c r="F6" t="s">
        <v>39</v>
      </c>
      <c r="G6" t="str">
        <f t="shared" si="1"/>
        <v>RothC results for year 2030 for Cotton_irr in ton C/ha</v>
      </c>
      <c r="H6" s="3" t="s">
        <v>359</v>
      </c>
      <c r="I6" s="3" t="s">
        <v>360</v>
      </c>
      <c r="J6" s="3" t="s">
        <v>362</v>
      </c>
      <c r="K6" s="4" t="s">
        <v>361</v>
      </c>
      <c r="N6" t="b">
        <v>0</v>
      </c>
      <c r="O6" t="b">
        <v>0</v>
      </c>
      <c r="P6">
        <v>100</v>
      </c>
      <c r="Q6" t="str">
        <f t="shared" si="0"/>
        <v>C:\Users\loyola\OneDrive - World Wildlife Fund, Inc\Documents\203. Python projects\SBTN_Test\data\crops\FAO_GAEZ\YIELDS\GAEZ-V5.RES06-YLD.COT.WSI.tif</v>
      </c>
      <c r="R6" s="3" t="s">
        <v>496</v>
      </c>
      <c r="S6" s="3" t="s">
        <v>494</v>
      </c>
      <c r="T6" s="4" t="s">
        <v>495</v>
      </c>
      <c r="U6" t="b">
        <v>0</v>
      </c>
      <c r="V6" s="7" t="s">
        <v>606</v>
      </c>
      <c r="W6" t="s">
        <v>610</v>
      </c>
      <c r="X6" t="s">
        <v>611</v>
      </c>
    </row>
    <row r="7" spans="1:30" x14ac:dyDescent="0.35">
      <c r="A7" t="s">
        <v>19</v>
      </c>
      <c r="B7" t="s">
        <v>34</v>
      </c>
      <c r="C7" t="s">
        <v>37</v>
      </c>
      <c r="D7" t="s">
        <v>37</v>
      </c>
      <c r="E7">
        <v>14</v>
      </c>
      <c r="F7" t="s">
        <v>39</v>
      </c>
      <c r="G7" t="str">
        <f t="shared" si="1"/>
        <v>RothC results for year 2030 for Groundnut_irr in ton C/ha</v>
      </c>
      <c r="H7" s="5" t="s">
        <v>447</v>
      </c>
      <c r="I7" s="5" t="s">
        <v>448</v>
      </c>
      <c r="J7" s="5" t="s">
        <v>450</v>
      </c>
      <c r="K7" s="6" t="s">
        <v>449</v>
      </c>
      <c r="N7" t="b">
        <v>0</v>
      </c>
      <c r="O7" t="b">
        <v>0</v>
      </c>
      <c r="P7">
        <v>100</v>
      </c>
      <c r="Q7" t="str">
        <f t="shared" si="0"/>
        <v>C:\Users\loyola\OneDrive - World Wildlife Fund, Inc\Documents\203. Python projects\SBTN_Test\data\crops\FAO_GAEZ\YIELDS\GAEZ-V5.RES06-YLD.GRD.WSI.tif</v>
      </c>
      <c r="R7" s="3" t="s">
        <v>511</v>
      </c>
      <c r="S7" s="3" t="s">
        <v>509</v>
      </c>
      <c r="T7" s="4" t="s">
        <v>510</v>
      </c>
      <c r="U7" t="b">
        <v>0</v>
      </c>
      <c r="V7" s="7" t="s">
        <v>606</v>
      </c>
      <c r="W7" t="s">
        <v>610</v>
      </c>
      <c r="X7" t="s">
        <v>611</v>
      </c>
    </row>
    <row r="8" spans="1:30" x14ac:dyDescent="0.35">
      <c r="A8" t="s">
        <v>20</v>
      </c>
      <c r="B8" t="s">
        <v>34</v>
      </c>
      <c r="C8" t="s">
        <v>37</v>
      </c>
      <c r="D8" t="s">
        <v>35</v>
      </c>
      <c r="E8">
        <v>14</v>
      </c>
      <c r="F8" t="s">
        <v>39</v>
      </c>
      <c r="G8" t="str">
        <f t="shared" si="1"/>
        <v>RothC results for year 2030 for Maize_irr_ron in ton C/ha</v>
      </c>
      <c r="H8" s="3" t="s">
        <v>363</v>
      </c>
      <c r="I8" s="3" t="s">
        <v>364</v>
      </c>
      <c r="J8" s="3" t="s">
        <v>366</v>
      </c>
      <c r="K8" s="4" t="s">
        <v>365</v>
      </c>
      <c r="N8" t="b">
        <v>0</v>
      </c>
      <c r="O8" t="b">
        <v>0</v>
      </c>
      <c r="P8">
        <v>100</v>
      </c>
      <c r="Q8" t="str">
        <f t="shared" si="0"/>
        <v>C:\Users\loyola\OneDrive - World Wildlife Fund, Inc\Documents\203. Python projects\SBTN_Test\data\crops\FAO_GAEZ\YIELDS\GAEZ-V5.RES06-YLD.MZE.WSI.tif</v>
      </c>
      <c r="R8" s="5" t="s">
        <v>522</v>
      </c>
      <c r="S8" s="5" t="s">
        <v>520</v>
      </c>
      <c r="T8" s="6" t="s">
        <v>521</v>
      </c>
      <c r="U8" t="b">
        <v>0</v>
      </c>
      <c r="V8" s="7" t="s">
        <v>606</v>
      </c>
      <c r="W8" t="s">
        <v>610</v>
      </c>
      <c r="X8" t="s">
        <v>611</v>
      </c>
    </row>
    <row r="9" spans="1:30" x14ac:dyDescent="0.35">
      <c r="A9" t="s">
        <v>20</v>
      </c>
      <c r="B9" t="s">
        <v>34</v>
      </c>
      <c r="C9" t="s">
        <v>37</v>
      </c>
      <c r="D9" t="s">
        <v>36</v>
      </c>
      <c r="E9">
        <v>14</v>
      </c>
      <c r="F9" t="s">
        <v>39</v>
      </c>
      <c r="G9" t="str">
        <f t="shared" si="1"/>
        <v>RothC results for year 2030 for Maize_irr_roff in ton C/ha</v>
      </c>
      <c r="H9" s="5" t="s">
        <v>457</v>
      </c>
      <c r="I9" s="5" t="s">
        <v>458</v>
      </c>
      <c r="J9" s="5" t="s">
        <v>460</v>
      </c>
      <c r="K9" s="6" t="s">
        <v>459</v>
      </c>
      <c r="N9" t="b">
        <v>0</v>
      </c>
      <c r="O9" t="b">
        <v>0</v>
      </c>
      <c r="P9">
        <v>100</v>
      </c>
      <c r="Q9" t="str">
        <f t="shared" si="0"/>
        <v>C:\Users\loyola\OneDrive - World Wildlife Fund, Inc\Documents\203. Python projects\SBTN_Test\data\crops\FAO_GAEZ\YIELDS\GAEZ-V5.RES06-YLD.MZE.WSI.tif</v>
      </c>
      <c r="R9" s="5" t="s">
        <v>522</v>
      </c>
      <c r="S9" s="5" t="s">
        <v>520</v>
      </c>
      <c r="T9" s="6" t="s">
        <v>521</v>
      </c>
      <c r="U9" t="b">
        <v>0</v>
      </c>
      <c r="V9" s="7" t="s">
        <v>606</v>
      </c>
      <c r="W9" t="s">
        <v>610</v>
      </c>
      <c r="X9" t="s">
        <v>611</v>
      </c>
    </row>
    <row r="10" spans="1:30" x14ac:dyDescent="0.35">
      <c r="A10" t="s">
        <v>21</v>
      </c>
      <c r="B10" t="s">
        <v>34</v>
      </c>
      <c r="C10" t="s">
        <v>37</v>
      </c>
      <c r="D10" t="s">
        <v>37</v>
      </c>
      <c r="E10">
        <v>14</v>
      </c>
      <c r="F10" t="s">
        <v>39</v>
      </c>
      <c r="G10" t="str">
        <f t="shared" si="1"/>
        <v>RothC results for year 2030 for Onion_irr in ton C/ha</v>
      </c>
      <c r="H10" s="3" t="s">
        <v>367</v>
      </c>
      <c r="I10" s="3" t="s">
        <v>368</v>
      </c>
      <c r="J10" s="3" t="s">
        <v>370</v>
      </c>
      <c r="K10" s="4" t="s">
        <v>369</v>
      </c>
      <c r="N10" t="b">
        <v>0</v>
      </c>
      <c r="O10" t="b">
        <v>0</v>
      </c>
      <c r="P10">
        <v>100</v>
      </c>
      <c r="Q10" t="str">
        <f t="shared" si="0"/>
        <v>../data/crops/spam2020V2r0_global_yield/spam2020_V2r0_global_Y_ONIO_I.tif</v>
      </c>
      <c r="R10" t="s">
        <v>335</v>
      </c>
      <c r="S10" t="s">
        <v>334</v>
      </c>
      <c r="T10" t="s">
        <v>336</v>
      </c>
      <c r="U10" t="b">
        <v>0</v>
      </c>
      <c r="V10" t="s">
        <v>605</v>
      </c>
      <c r="W10" t="s">
        <v>610</v>
      </c>
      <c r="X10" t="s">
        <v>611</v>
      </c>
    </row>
    <row r="11" spans="1:30" x14ac:dyDescent="0.35">
      <c r="A11" t="s">
        <v>22</v>
      </c>
      <c r="B11" t="s">
        <v>34</v>
      </c>
      <c r="C11" t="s">
        <v>37</v>
      </c>
      <c r="D11" t="s">
        <v>37</v>
      </c>
      <c r="E11">
        <v>14</v>
      </c>
      <c r="F11" t="s">
        <v>39</v>
      </c>
      <c r="G11" t="str">
        <f t="shared" si="1"/>
        <v>RothC results for year 2030 for Potato_irr in ton C/ha</v>
      </c>
      <c r="H11" s="5" t="s">
        <v>371</v>
      </c>
      <c r="I11" s="5" t="s">
        <v>372</v>
      </c>
      <c r="J11" s="5" t="s">
        <v>374</v>
      </c>
      <c r="K11" s="6" t="s">
        <v>373</v>
      </c>
      <c r="N11" t="b">
        <v>0</v>
      </c>
      <c r="O11" t="b">
        <v>0</v>
      </c>
      <c r="P11">
        <v>100</v>
      </c>
      <c r="Q11" t="str">
        <f t="shared" si="0"/>
        <v>C:\Users\loyola\OneDrive - World Wildlife Fund, Inc\Documents\203. Python projects\SBTN_Test\data\crops\FAO_GAEZ\YIELDS\GAEZ-V5.RES06-YLD.POT.WSI.tif</v>
      </c>
      <c r="R11" s="3" t="s">
        <v>557</v>
      </c>
      <c r="S11" s="3" t="s">
        <v>555</v>
      </c>
      <c r="T11" s="4" t="s">
        <v>556</v>
      </c>
      <c r="U11" t="b">
        <v>0</v>
      </c>
      <c r="V11" s="7" t="s">
        <v>606</v>
      </c>
      <c r="W11" t="s">
        <v>610</v>
      </c>
      <c r="X11" t="s">
        <v>611</v>
      </c>
    </row>
    <row r="12" spans="1:30" x14ac:dyDescent="0.35">
      <c r="A12" t="s">
        <v>23</v>
      </c>
      <c r="B12" t="s">
        <v>34</v>
      </c>
      <c r="C12" t="s">
        <v>37</v>
      </c>
      <c r="D12" t="s">
        <v>35</v>
      </c>
      <c r="E12">
        <v>14</v>
      </c>
      <c r="F12" t="s">
        <v>39</v>
      </c>
      <c r="G12" t="str">
        <f t="shared" si="1"/>
        <v>RothC results for year 2030 for Rapeseed_irr_ron in ton C/ha</v>
      </c>
      <c r="H12" s="3" t="s">
        <v>375</v>
      </c>
      <c r="I12" s="3" t="s">
        <v>376</v>
      </c>
      <c r="J12" s="3" t="s">
        <v>378</v>
      </c>
      <c r="K12" s="4" t="s">
        <v>377</v>
      </c>
      <c r="N12" t="b">
        <v>0</v>
      </c>
      <c r="O12" t="b">
        <v>0</v>
      </c>
      <c r="P12">
        <v>100</v>
      </c>
      <c r="Q12" t="str">
        <f t="shared" si="0"/>
        <v>C:\Users\loyola\OneDrive - World Wildlife Fund, Inc\Documents\203. Python projects\SBTN_Test\data\crops\FAO_GAEZ\YIELDS\GAEZ-V5.RES06-YLD.RSD.WSI.tif</v>
      </c>
      <c r="R12" s="3" t="s">
        <v>563</v>
      </c>
      <c r="S12" s="3" t="s">
        <v>561</v>
      </c>
      <c r="T12" s="4" t="s">
        <v>562</v>
      </c>
      <c r="U12" t="b">
        <v>0</v>
      </c>
      <c r="V12" s="7" t="s">
        <v>606</v>
      </c>
      <c r="W12" t="s">
        <v>610</v>
      </c>
      <c r="X12" t="s">
        <v>611</v>
      </c>
    </row>
    <row r="13" spans="1:30" x14ac:dyDescent="0.35">
      <c r="A13" t="s">
        <v>23</v>
      </c>
      <c r="B13" t="s">
        <v>34</v>
      </c>
      <c r="C13" t="s">
        <v>37</v>
      </c>
      <c r="D13" t="s">
        <v>36</v>
      </c>
      <c r="E13">
        <v>14</v>
      </c>
      <c r="F13" t="s">
        <v>39</v>
      </c>
      <c r="G13" t="str">
        <f t="shared" si="1"/>
        <v>RothC results for year 2030 for Rapeseed_irr_roff in ton C/ha</v>
      </c>
      <c r="H13" s="5" t="s">
        <v>375</v>
      </c>
      <c r="I13" s="5" t="s">
        <v>461</v>
      </c>
      <c r="J13" s="5" t="s">
        <v>463</v>
      </c>
      <c r="K13" s="6" t="s">
        <v>462</v>
      </c>
      <c r="N13" t="b">
        <v>0</v>
      </c>
      <c r="O13" t="b">
        <v>0</v>
      </c>
      <c r="P13">
        <v>100</v>
      </c>
      <c r="Q13" t="str">
        <f t="shared" si="0"/>
        <v>C:\Users\loyola\OneDrive - World Wildlife Fund, Inc\Documents\203. Python projects\SBTN_Test\data\crops\FAO_GAEZ\YIELDS\GAEZ-V5.RES06-YLD.RSD.WSI.tif</v>
      </c>
      <c r="R13" s="3" t="s">
        <v>563</v>
      </c>
      <c r="S13" s="3" t="s">
        <v>561</v>
      </c>
      <c r="T13" s="4" t="s">
        <v>562</v>
      </c>
      <c r="U13" t="b">
        <v>0</v>
      </c>
      <c r="V13" s="7" t="s">
        <v>606</v>
      </c>
      <c r="W13" t="s">
        <v>610</v>
      </c>
      <c r="X13" t="s">
        <v>611</v>
      </c>
    </row>
    <row r="14" spans="1:30" x14ac:dyDescent="0.35">
      <c r="A14" t="s">
        <v>24</v>
      </c>
      <c r="B14" t="s">
        <v>34</v>
      </c>
      <c r="C14" t="s">
        <v>37</v>
      </c>
      <c r="D14" t="s">
        <v>37</v>
      </c>
      <c r="E14">
        <v>14</v>
      </c>
      <c r="F14" t="s">
        <v>39</v>
      </c>
      <c r="G14" t="str">
        <f t="shared" si="1"/>
        <v>RothC results for year 2030 for Rice_irr in ton C/ha</v>
      </c>
      <c r="H14" t="s">
        <v>38</v>
      </c>
      <c r="I14" t="s">
        <v>331</v>
      </c>
      <c r="J14" t="s">
        <v>332</v>
      </c>
      <c r="K14" t="s">
        <v>333</v>
      </c>
      <c r="N14" t="b">
        <v>0</v>
      </c>
      <c r="O14" t="b">
        <v>0</v>
      </c>
      <c r="P14">
        <v>100</v>
      </c>
      <c r="Q14" t="str">
        <f t="shared" si="0"/>
        <v>C:\Users\loyola\OneDrive - World Wildlife Fund, Inc\Documents\203. Python projects\SBTN_Test\data\crops\FAO_GAEZ\YIELDS\GAEZ-V5.RES06-YLD.RCW.WSI.tif</v>
      </c>
      <c r="R14" s="5" t="s">
        <v>560</v>
      </c>
      <c r="S14" s="5" t="s">
        <v>558</v>
      </c>
      <c r="T14" s="6" t="s">
        <v>559</v>
      </c>
      <c r="U14" t="b">
        <v>0</v>
      </c>
      <c r="V14" s="7" t="s">
        <v>606</v>
      </c>
      <c r="W14" t="s">
        <v>610</v>
      </c>
      <c r="X14" t="s">
        <v>611</v>
      </c>
    </row>
    <row r="15" spans="1:30" x14ac:dyDescent="0.35">
      <c r="A15" t="s">
        <v>25</v>
      </c>
      <c r="B15" t="s">
        <v>34</v>
      </c>
      <c r="C15" t="s">
        <v>37</v>
      </c>
      <c r="D15" t="s">
        <v>35</v>
      </c>
      <c r="E15">
        <v>14</v>
      </c>
      <c r="F15" t="s">
        <v>39</v>
      </c>
      <c r="G15" t="str">
        <f t="shared" si="1"/>
        <v>RothC results for year 2030 for Sorghum_irr_ron in ton C/ha</v>
      </c>
      <c r="H15" s="3" t="s">
        <v>379</v>
      </c>
      <c r="I15" s="3" t="s">
        <v>380</v>
      </c>
      <c r="J15" s="3" t="s">
        <v>382</v>
      </c>
      <c r="K15" s="4" t="s">
        <v>381</v>
      </c>
      <c r="N15" t="b">
        <v>0</v>
      </c>
      <c r="O15" t="b">
        <v>0</v>
      </c>
      <c r="P15">
        <v>100</v>
      </c>
      <c r="Q15" t="str">
        <f t="shared" si="0"/>
        <v>C:\Users\loyola\OneDrive - World Wildlife Fund, Inc\Documents\203. Python projects\SBTN_Test\data\crops\FAO_GAEZ\YIELDS\GAEZ-V5.RES06-YLD.SRG.WSI.tif</v>
      </c>
      <c r="R15" s="3" t="s">
        <v>584</v>
      </c>
      <c r="S15" s="3" t="s">
        <v>582</v>
      </c>
      <c r="T15" s="4" t="s">
        <v>583</v>
      </c>
      <c r="U15" t="b">
        <v>0</v>
      </c>
      <c r="V15" s="7" t="s">
        <v>606</v>
      </c>
      <c r="W15" t="s">
        <v>610</v>
      </c>
      <c r="X15" t="s">
        <v>611</v>
      </c>
    </row>
    <row r="16" spans="1:30" x14ac:dyDescent="0.35">
      <c r="A16" t="s">
        <v>25</v>
      </c>
      <c r="B16" t="s">
        <v>34</v>
      </c>
      <c r="C16" t="s">
        <v>37</v>
      </c>
      <c r="D16" t="s">
        <v>36</v>
      </c>
      <c r="E16">
        <v>14</v>
      </c>
      <c r="F16" t="s">
        <v>39</v>
      </c>
      <c r="G16" t="str">
        <f t="shared" si="1"/>
        <v>RothC results for year 2030 for Sorghum_irr_roff in ton C/ha</v>
      </c>
      <c r="H16" s="5" t="s">
        <v>464</v>
      </c>
      <c r="I16" s="5" t="s">
        <v>465</v>
      </c>
      <c r="J16" s="5" t="s">
        <v>467</v>
      </c>
      <c r="K16" s="6" t="s">
        <v>466</v>
      </c>
      <c r="N16" t="b">
        <v>0</v>
      </c>
      <c r="O16" t="b">
        <v>0</v>
      </c>
      <c r="P16">
        <v>100</v>
      </c>
      <c r="Q16" t="str">
        <f t="shared" si="0"/>
        <v>C:\Users\loyola\OneDrive - World Wildlife Fund, Inc\Documents\203. Python projects\SBTN_Test\data\crops\FAO_GAEZ\YIELDS\GAEZ-V5.RES06-YLD.SRG.WSI.tif</v>
      </c>
      <c r="R16" s="3" t="s">
        <v>584</v>
      </c>
      <c r="S16" s="3" t="s">
        <v>582</v>
      </c>
      <c r="T16" s="4" t="s">
        <v>583</v>
      </c>
      <c r="U16" t="b">
        <v>0</v>
      </c>
      <c r="V16" s="7" t="s">
        <v>606</v>
      </c>
      <c r="W16" t="s">
        <v>610</v>
      </c>
      <c r="X16" t="s">
        <v>611</v>
      </c>
    </row>
    <row r="17" spans="1:24" x14ac:dyDescent="0.35">
      <c r="A17" t="s">
        <v>26</v>
      </c>
      <c r="B17" t="s">
        <v>34</v>
      </c>
      <c r="C17" t="s">
        <v>37</v>
      </c>
      <c r="D17" t="s">
        <v>37</v>
      </c>
      <c r="E17">
        <v>14</v>
      </c>
      <c r="F17" t="s">
        <v>39</v>
      </c>
      <c r="G17" t="str">
        <f t="shared" si="1"/>
        <v>RothC results for year 2030 for Soybean_irr in ton C/ha</v>
      </c>
      <c r="H17" s="3" t="s">
        <v>383</v>
      </c>
      <c r="I17" s="3" t="s">
        <v>384</v>
      </c>
      <c r="J17" s="3" t="s">
        <v>386</v>
      </c>
      <c r="K17" s="4" t="s">
        <v>385</v>
      </c>
      <c r="N17" t="b">
        <v>0</v>
      </c>
      <c r="O17" t="b">
        <v>0</v>
      </c>
      <c r="P17">
        <v>100</v>
      </c>
      <c r="Q17" t="str">
        <f t="shared" si="0"/>
        <v>C:\Users\loyola\OneDrive - World Wildlife Fund, Inc\Documents\203. Python projects\SBTN_Test\data\crops\FAO_GAEZ\YIELDS\GAEZ-V5.RES06-YLD.SOY.WSI.tif</v>
      </c>
      <c r="R17" s="5" t="s">
        <v>581</v>
      </c>
      <c r="S17" s="5" t="s">
        <v>579</v>
      </c>
      <c r="T17" s="6" t="s">
        <v>580</v>
      </c>
      <c r="U17" t="b">
        <v>0</v>
      </c>
      <c r="V17" s="7" t="s">
        <v>606</v>
      </c>
      <c r="W17" t="s">
        <v>610</v>
      </c>
      <c r="X17" t="s">
        <v>611</v>
      </c>
    </row>
    <row r="18" spans="1:24" x14ac:dyDescent="0.35">
      <c r="A18" t="s">
        <v>27</v>
      </c>
      <c r="B18" t="s">
        <v>34</v>
      </c>
      <c r="C18" t="s">
        <v>37</v>
      </c>
      <c r="D18" t="s">
        <v>37</v>
      </c>
      <c r="E18">
        <v>14</v>
      </c>
      <c r="F18" t="s">
        <v>39</v>
      </c>
      <c r="G18" t="str">
        <f t="shared" si="1"/>
        <v>RothC results for year 2030 for Sugar beet_irr in ton C/ha</v>
      </c>
      <c r="H18" s="5" t="s">
        <v>387</v>
      </c>
      <c r="I18" s="5" t="s">
        <v>388</v>
      </c>
      <c r="J18" s="5" t="s">
        <v>390</v>
      </c>
      <c r="K18" s="6" t="s">
        <v>389</v>
      </c>
      <c r="N18" t="b">
        <v>0</v>
      </c>
      <c r="O18" t="b">
        <v>0</v>
      </c>
      <c r="P18">
        <v>100</v>
      </c>
      <c r="Q18" t="str">
        <f t="shared" si="0"/>
        <v>C:\Users\loyola\OneDrive - World Wildlife Fund, Inc\Documents\203. Python projects\SBTN_Test\data\crops\FAO_GAEZ\YIELDS\GAEZ-V5.RES06-YLD.SUB.WSI.tif</v>
      </c>
      <c r="R18" s="5" t="s">
        <v>587</v>
      </c>
      <c r="S18" s="5" t="s">
        <v>585</v>
      </c>
      <c r="T18" s="6" t="s">
        <v>586</v>
      </c>
      <c r="U18" t="b">
        <v>1</v>
      </c>
      <c r="V18" s="7" t="s">
        <v>606</v>
      </c>
      <c r="W18" t="s">
        <v>610</v>
      </c>
      <c r="X18" t="s">
        <v>611</v>
      </c>
    </row>
    <row r="19" spans="1:24" x14ac:dyDescent="0.35">
      <c r="A19" t="s">
        <v>29</v>
      </c>
      <c r="B19" t="s">
        <v>34</v>
      </c>
      <c r="C19" t="s">
        <v>37</v>
      </c>
      <c r="D19" t="s">
        <v>37</v>
      </c>
      <c r="E19">
        <v>14</v>
      </c>
      <c r="F19" t="s">
        <v>39</v>
      </c>
      <c r="G19" t="str">
        <f t="shared" si="1"/>
        <v>RothC results for year 2030 for Sunflower_irr in ton C/ha</v>
      </c>
      <c r="H19" s="3" t="s">
        <v>391</v>
      </c>
      <c r="I19" s="3" t="s">
        <v>392</v>
      </c>
      <c r="J19" s="3" t="s">
        <v>394</v>
      </c>
      <c r="K19" s="4" t="s">
        <v>393</v>
      </c>
      <c r="N19" t="b">
        <v>0</v>
      </c>
      <c r="O19" t="b">
        <v>0</v>
      </c>
      <c r="P19">
        <v>100</v>
      </c>
      <c r="Q19" t="str">
        <f t="shared" si="0"/>
        <v>C:\Users\loyola\OneDrive - World Wildlife Fund, Inc\Documents\203. Python projects\SBTN_Test\data\crops\FAO_GAEZ\YIELDS\GAEZ-V5.RES06-YLD.SFL.WSI.tif</v>
      </c>
      <c r="R19" s="3" t="s">
        <v>578</v>
      </c>
      <c r="S19" s="3" t="s">
        <v>576</v>
      </c>
      <c r="T19" s="4" t="s">
        <v>577</v>
      </c>
      <c r="U19" t="b">
        <v>0</v>
      </c>
      <c r="V19" s="7" t="s">
        <v>606</v>
      </c>
      <c r="W19" t="s">
        <v>610</v>
      </c>
      <c r="X19" t="s">
        <v>611</v>
      </c>
    </row>
    <row r="20" spans="1:24" x14ac:dyDescent="0.35">
      <c r="A20" t="s">
        <v>30</v>
      </c>
      <c r="B20" t="s">
        <v>34</v>
      </c>
      <c r="C20" t="s">
        <v>37</v>
      </c>
      <c r="D20" t="s">
        <v>37</v>
      </c>
      <c r="E20">
        <v>14</v>
      </c>
      <c r="F20" t="s">
        <v>39</v>
      </c>
      <c r="G20" t="str">
        <f t="shared" si="1"/>
        <v>RothC results for year 2030 for Sweet potato_irr in ton C/ha</v>
      </c>
      <c r="H20" s="5" t="s">
        <v>395</v>
      </c>
      <c r="I20" s="5" t="s">
        <v>396</v>
      </c>
      <c r="J20" s="5" t="s">
        <v>398</v>
      </c>
      <c r="K20" s="6" t="s">
        <v>397</v>
      </c>
      <c r="N20" t="b">
        <v>0</v>
      </c>
      <c r="O20" t="b">
        <v>0</v>
      </c>
      <c r="P20">
        <v>100</v>
      </c>
      <c r="Q20" t="str">
        <f t="shared" si="0"/>
        <v>C:\Users\loyola\OneDrive - World Wildlife Fund, Inc\Documents\203. Python projects\SBTN_Test\data\crops\FAO_GAEZ\YIELDS\GAEZ-V5.RES06-YLD.POT.WSI.tif</v>
      </c>
      <c r="R20" s="3" t="s">
        <v>557</v>
      </c>
      <c r="S20" s="3" t="s">
        <v>555</v>
      </c>
      <c r="T20" s="4" t="s">
        <v>556</v>
      </c>
      <c r="U20" t="b">
        <v>0</v>
      </c>
      <c r="V20" s="7" t="s">
        <v>606</v>
      </c>
      <c r="W20" t="s">
        <v>610</v>
      </c>
      <c r="X20" t="s">
        <v>611</v>
      </c>
    </row>
    <row r="21" spans="1:24" x14ac:dyDescent="0.35">
      <c r="A21" t="s">
        <v>31</v>
      </c>
      <c r="B21" t="s">
        <v>34</v>
      </c>
      <c r="C21" t="s">
        <v>37</v>
      </c>
      <c r="D21" t="s">
        <v>37</v>
      </c>
      <c r="E21">
        <v>14</v>
      </c>
      <c r="F21" t="s">
        <v>39</v>
      </c>
      <c r="G21" t="str">
        <f t="shared" si="1"/>
        <v>RothC results for year 2030 for Tobacco_irr in ton C/ha</v>
      </c>
      <c r="H21" s="3" t="s">
        <v>399</v>
      </c>
      <c r="I21" s="3" t="s">
        <v>400</v>
      </c>
      <c r="J21" s="3" t="s">
        <v>402</v>
      </c>
      <c r="K21" s="4" t="s">
        <v>401</v>
      </c>
      <c r="N21" t="b">
        <v>0</v>
      </c>
      <c r="O21" t="b">
        <v>0</v>
      </c>
      <c r="P21">
        <v>100</v>
      </c>
      <c r="Q21" t="str">
        <f t="shared" si="0"/>
        <v>C:\Users\loyola\OneDrive - World Wildlife Fund, Inc\Documents\203. Python projects\SBTN_Test\data\crops\FAO_GAEZ\YIELDS\GAEZ-V5.RES06-YLD.TOB.WSI.tif</v>
      </c>
      <c r="R21" s="3" t="s">
        <v>598</v>
      </c>
      <c r="S21" s="3" t="s">
        <v>596</v>
      </c>
      <c r="T21" s="4" t="s">
        <v>597</v>
      </c>
      <c r="U21" t="b">
        <v>0</v>
      </c>
      <c r="V21" s="7" t="s">
        <v>606</v>
      </c>
      <c r="W21" t="s">
        <v>610</v>
      </c>
      <c r="X21" t="s">
        <v>611</v>
      </c>
    </row>
    <row r="22" spans="1:24" x14ac:dyDescent="0.35">
      <c r="A22" t="s">
        <v>32</v>
      </c>
      <c r="B22" t="s">
        <v>34</v>
      </c>
      <c r="C22" t="s">
        <v>37</v>
      </c>
      <c r="D22" t="s">
        <v>37</v>
      </c>
      <c r="E22">
        <v>14</v>
      </c>
      <c r="F22" t="s">
        <v>39</v>
      </c>
      <c r="G22" t="str">
        <f t="shared" si="1"/>
        <v>RothC results for year 2030 for Tomato_irr in ton C/ha</v>
      </c>
      <c r="H22" s="5" t="s">
        <v>403</v>
      </c>
      <c r="I22" s="5" t="s">
        <v>404</v>
      </c>
      <c r="J22" s="5" t="s">
        <v>406</v>
      </c>
      <c r="K22" s="6" t="s">
        <v>405</v>
      </c>
      <c r="N22" t="b">
        <v>0</v>
      </c>
      <c r="O22" t="b">
        <v>0</v>
      </c>
      <c r="P22">
        <v>100</v>
      </c>
      <c r="Q22" t="str">
        <f t="shared" si="0"/>
        <v>C:\Users\loyola\OneDrive - World Wildlife Fund, Inc\Documents\203. Python projects\SBTN_Test\data\crops\FAO_GAEZ\YIELDS\GAEZ-V5.RES06-YLD.TOM.WSI.tif</v>
      </c>
      <c r="R22" s="5" t="s">
        <v>601</v>
      </c>
      <c r="S22" s="5" t="s">
        <v>599</v>
      </c>
      <c r="T22" s="6" t="s">
        <v>600</v>
      </c>
      <c r="U22" t="b">
        <v>0</v>
      </c>
      <c r="V22" s="7" t="s">
        <v>606</v>
      </c>
      <c r="W22" t="s">
        <v>610</v>
      </c>
      <c r="X22" t="s">
        <v>611</v>
      </c>
    </row>
    <row r="23" spans="1:24" x14ac:dyDescent="0.35">
      <c r="A23" t="s">
        <v>33</v>
      </c>
      <c r="B23" t="s">
        <v>34</v>
      </c>
      <c r="C23" t="s">
        <v>37</v>
      </c>
      <c r="D23" t="s">
        <v>35</v>
      </c>
      <c r="E23">
        <v>14</v>
      </c>
      <c r="F23" t="s">
        <v>39</v>
      </c>
      <c r="G23" t="str">
        <f t="shared" si="1"/>
        <v>RothC results for year 2030 for Wheat_irr_ron in ton C/ha</v>
      </c>
      <c r="H23" s="3" t="s">
        <v>407</v>
      </c>
      <c r="I23" s="3" t="s">
        <v>408</v>
      </c>
      <c r="J23" s="3" t="s">
        <v>410</v>
      </c>
      <c r="K23" s="4" t="s">
        <v>409</v>
      </c>
      <c r="N23" t="b">
        <v>0</v>
      </c>
      <c r="O23" t="b">
        <v>0</v>
      </c>
      <c r="P23">
        <v>100</v>
      </c>
      <c r="Q23" t="str">
        <f t="shared" si="0"/>
        <v>C:\Users\loyola\OneDrive - World Wildlife Fund, Inc\Documents\203. Python projects\SBTN_Test\data\crops\FAO_GAEZ\YIELDS\GAEZ-V5.RES06-YLD.WHE.WSI.tif</v>
      </c>
      <c r="R23" s="3" t="s">
        <v>604</v>
      </c>
      <c r="S23" s="3" t="s">
        <v>602</v>
      </c>
      <c r="T23" s="4" t="s">
        <v>603</v>
      </c>
      <c r="U23" t="b">
        <v>0</v>
      </c>
      <c r="V23" s="7" t="s">
        <v>606</v>
      </c>
      <c r="W23" t="s">
        <v>610</v>
      </c>
      <c r="X23" t="s">
        <v>611</v>
      </c>
    </row>
    <row r="24" spans="1:24" x14ac:dyDescent="0.35">
      <c r="A24" t="s">
        <v>33</v>
      </c>
      <c r="B24" t="s">
        <v>34</v>
      </c>
      <c r="C24" t="s">
        <v>37</v>
      </c>
      <c r="D24" t="s">
        <v>36</v>
      </c>
      <c r="E24">
        <v>14</v>
      </c>
      <c r="F24" t="s">
        <v>39</v>
      </c>
      <c r="G24" t="str">
        <f t="shared" si="1"/>
        <v>RothC results for year 2030 for Wheat_irr_roff in ton C/ha</v>
      </c>
      <c r="H24" s="5" t="s">
        <v>468</v>
      </c>
      <c r="I24" s="5" t="s">
        <v>469</v>
      </c>
      <c r="J24" s="5" t="s">
        <v>471</v>
      </c>
      <c r="K24" s="6" t="s">
        <v>470</v>
      </c>
      <c r="N24" t="b">
        <v>0</v>
      </c>
      <c r="O24" t="b">
        <v>0</v>
      </c>
      <c r="P24">
        <v>100</v>
      </c>
      <c r="Q24" t="str">
        <f t="shared" si="0"/>
        <v>C:\Users\loyola\OneDrive - World Wildlife Fund, Inc\Documents\203. Python projects\SBTN_Test\data\crops\FAO_GAEZ\YIELDS\GAEZ-V5.RES06-YLD.WHE.WSI.tif</v>
      </c>
      <c r="R24" s="3" t="s">
        <v>604</v>
      </c>
      <c r="S24" s="3" t="s">
        <v>602</v>
      </c>
      <c r="T24" s="4" t="s">
        <v>603</v>
      </c>
      <c r="U24" t="b">
        <v>0</v>
      </c>
      <c r="V24" s="7" t="s">
        <v>606</v>
      </c>
      <c r="W24" t="s">
        <v>610</v>
      </c>
      <c r="X24" t="s">
        <v>611</v>
      </c>
    </row>
  </sheetData>
  <autoFilter ref="A1:T24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158A-EE11-489A-9157-EB898838B392}">
  <dimension ref="A1:G35"/>
  <sheetViews>
    <sheetView topLeftCell="A2" workbookViewId="0">
      <selection activeCell="A35" sqref="A35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20.26953125" bestFit="1" customWidth="1"/>
    <col min="4" max="4" width="36.6328125" customWidth="1"/>
    <col min="5" max="7" width="80.7265625" bestFit="1" customWidth="1"/>
  </cols>
  <sheetData>
    <row r="1" spans="1:7" x14ac:dyDescent="0.35">
      <c r="A1" t="s">
        <v>0</v>
      </c>
      <c r="B1" t="s">
        <v>341</v>
      </c>
      <c r="C1" t="s">
        <v>342</v>
      </c>
      <c r="D1" t="s">
        <v>343</v>
      </c>
      <c r="E1" t="s">
        <v>344</v>
      </c>
      <c r="F1" t="s">
        <v>346</v>
      </c>
      <c r="G1" t="s">
        <v>345</v>
      </c>
    </row>
    <row r="2" spans="1:7" x14ac:dyDescent="0.35">
      <c r="A2" t="s">
        <v>15</v>
      </c>
      <c r="B2" t="s">
        <v>347</v>
      </c>
      <c r="C2" t="s">
        <v>35</v>
      </c>
      <c r="D2" t="s">
        <v>339</v>
      </c>
      <c r="E2" t="s">
        <v>348</v>
      </c>
      <c r="F2" t="s">
        <v>350</v>
      </c>
      <c r="G2" t="s">
        <v>349</v>
      </c>
    </row>
    <row r="3" spans="1:7" x14ac:dyDescent="0.35">
      <c r="A3" t="s">
        <v>15</v>
      </c>
      <c r="B3" t="s">
        <v>347</v>
      </c>
      <c r="C3" t="s">
        <v>36</v>
      </c>
      <c r="D3" t="s">
        <v>340</v>
      </c>
      <c r="E3" t="s">
        <v>454</v>
      </c>
      <c r="F3" t="s">
        <v>456</v>
      </c>
      <c r="G3" t="s">
        <v>455</v>
      </c>
    </row>
    <row r="4" spans="1:7" x14ac:dyDescent="0.35">
      <c r="A4" t="s">
        <v>16</v>
      </c>
      <c r="B4" t="s">
        <v>347</v>
      </c>
      <c r="C4" t="s">
        <v>37</v>
      </c>
      <c r="D4" t="s">
        <v>351</v>
      </c>
      <c r="E4" t="s">
        <v>352</v>
      </c>
      <c r="F4" t="s">
        <v>354</v>
      </c>
      <c r="G4" t="s">
        <v>353</v>
      </c>
    </row>
    <row r="5" spans="1:7" x14ac:dyDescent="0.35">
      <c r="A5" t="s">
        <v>17</v>
      </c>
      <c r="B5" t="s">
        <v>347</v>
      </c>
      <c r="C5" t="s">
        <v>37</v>
      </c>
      <c r="D5" t="s">
        <v>355</v>
      </c>
      <c r="E5" t="s">
        <v>356</v>
      </c>
      <c r="F5" t="s">
        <v>358</v>
      </c>
      <c r="G5" t="s">
        <v>357</v>
      </c>
    </row>
    <row r="6" spans="1:7" x14ac:dyDescent="0.35">
      <c r="A6" t="s">
        <v>18</v>
      </c>
      <c r="B6" t="s">
        <v>347</v>
      </c>
      <c r="C6" t="s">
        <v>37</v>
      </c>
      <c r="D6" t="s">
        <v>359</v>
      </c>
      <c r="E6" t="s">
        <v>360</v>
      </c>
      <c r="F6" t="s">
        <v>362</v>
      </c>
      <c r="G6" t="s">
        <v>361</v>
      </c>
    </row>
    <row r="7" spans="1:7" x14ac:dyDescent="0.35">
      <c r="A7" t="s">
        <v>19</v>
      </c>
      <c r="B7" t="s">
        <v>347</v>
      </c>
      <c r="C7" t="s">
        <v>37</v>
      </c>
      <c r="D7" t="s">
        <v>447</v>
      </c>
      <c r="E7" t="s">
        <v>448</v>
      </c>
      <c r="F7" t="s">
        <v>450</v>
      </c>
      <c r="G7" t="s">
        <v>449</v>
      </c>
    </row>
    <row r="8" spans="1:7" x14ac:dyDescent="0.35">
      <c r="A8" t="s">
        <v>20</v>
      </c>
      <c r="B8" t="s">
        <v>347</v>
      </c>
      <c r="C8" t="s">
        <v>35</v>
      </c>
      <c r="D8" t="s">
        <v>363</v>
      </c>
      <c r="E8" t="s">
        <v>364</v>
      </c>
      <c r="F8" t="s">
        <v>366</v>
      </c>
      <c r="G8" t="s">
        <v>365</v>
      </c>
    </row>
    <row r="9" spans="1:7" x14ac:dyDescent="0.35">
      <c r="A9" t="s">
        <v>20</v>
      </c>
      <c r="B9" t="s">
        <v>347</v>
      </c>
      <c r="C9" t="s">
        <v>36</v>
      </c>
      <c r="D9" t="s">
        <v>457</v>
      </c>
      <c r="E9" t="s">
        <v>458</v>
      </c>
      <c r="F9" t="s">
        <v>460</v>
      </c>
      <c r="G9" t="s">
        <v>459</v>
      </c>
    </row>
    <row r="10" spans="1:7" x14ac:dyDescent="0.35">
      <c r="A10" t="s">
        <v>21</v>
      </c>
      <c r="B10" t="s">
        <v>347</v>
      </c>
      <c r="C10" t="s">
        <v>37</v>
      </c>
      <c r="D10" t="s">
        <v>367</v>
      </c>
      <c r="E10" t="s">
        <v>368</v>
      </c>
      <c r="F10" t="s">
        <v>370</v>
      </c>
      <c r="G10" t="s">
        <v>369</v>
      </c>
    </row>
    <row r="11" spans="1:7" x14ac:dyDescent="0.35">
      <c r="A11" t="s">
        <v>22</v>
      </c>
      <c r="B11" t="s">
        <v>347</v>
      </c>
      <c r="C11" t="s">
        <v>37</v>
      </c>
      <c r="D11" t="s">
        <v>371</v>
      </c>
      <c r="E11" t="s">
        <v>372</v>
      </c>
      <c r="F11" t="s">
        <v>374</v>
      </c>
      <c r="G11" t="s">
        <v>373</v>
      </c>
    </row>
    <row r="12" spans="1:7" x14ac:dyDescent="0.35">
      <c r="A12" t="s">
        <v>23</v>
      </c>
      <c r="B12" t="s">
        <v>347</v>
      </c>
      <c r="C12" t="s">
        <v>35</v>
      </c>
      <c r="D12" t="s">
        <v>375</v>
      </c>
      <c r="E12" t="s">
        <v>376</v>
      </c>
      <c r="F12" t="s">
        <v>378</v>
      </c>
      <c r="G12" t="s">
        <v>377</v>
      </c>
    </row>
    <row r="13" spans="1:7" x14ac:dyDescent="0.35">
      <c r="A13" t="s">
        <v>23</v>
      </c>
      <c r="B13" t="s">
        <v>347</v>
      </c>
      <c r="C13" t="s">
        <v>36</v>
      </c>
      <c r="D13" t="s">
        <v>375</v>
      </c>
      <c r="E13" t="s">
        <v>461</v>
      </c>
      <c r="F13" t="s">
        <v>463</v>
      </c>
      <c r="G13" t="s">
        <v>462</v>
      </c>
    </row>
    <row r="14" spans="1:7" x14ac:dyDescent="0.35">
      <c r="A14" t="s">
        <v>25</v>
      </c>
      <c r="B14" t="s">
        <v>347</v>
      </c>
      <c r="C14" t="s">
        <v>35</v>
      </c>
      <c r="D14" t="s">
        <v>379</v>
      </c>
      <c r="E14" t="s">
        <v>380</v>
      </c>
      <c r="F14" t="s">
        <v>382</v>
      </c>
      <c r="G14" t="s">
        <v>381</v>
      </c>
    </row>
    <row r="15" spans="1:7" x14ac:dyDescent="0.35">
      <c r="A15" t="s">
        <v>25</v>
      </c>
      <c r="B15" t="s">
        <v>347</v>
      </c>
      <c r="C15" t="s">
        <v>36</v>
      </c>
      <c r="D15" t="s">
        <v>464</v>
      </c>
      <c r="E15" t="s">
        <v>465</v>
      </c>
      <c r="F15" t="s">
        <v>467</v>
      </c>
      <c r="G15" t="s">
        <v>466</v>
      </c>
    </row>
    <row r="16" spans="1:7" x14ac:dyDescent="0.35">
      <c r="A16" t="s">
        <v>26</v>
      </c>
      <c r="B16" t="s">
        <v>347</v>
      </c>
      <c r="C16" t="s">
        <v>37</v>
      </c>
      <c r="D16" t="s">
        <v>383</v>
      </c>
      <c r="E16" t="s">
        <v>384</v>
      </c>
      <c r="F16" t="s">
        <v>386</v>
      </c>
      <c r="G16" t="s">
        <v>385</v>
      </c>
    </row>
    <row r="17" spans="1:7" x14ac:dyDescent="0.35">
      <c r="A17" t="s">
        <v>27</v>
      </c>
      <c r="B17" t="s">
        <v>347</v>
      </c>
      <c r="C17" t="s">
        <v>37</v>
      </c>
      <c r="D17" t="s">
        <v>387</v>
      </c>
      <c r="E17" t="s">
        <v>388</v>
      </c>
      <c r="F17" t="s">
        <v>390</v>
      </c>
      <c r="G17" t="s">
        <v>389</v>
      </c>
    </row>
    <row r="18" spans="1:7" hidden="1" x14ac:dyDescent="0.35">
      <c r="A18" t="s">
        <v>15</v>
      </c>
      <c r="B18" t="s">
        <v>347</v>
      </c>
      <c r="C18" t="s">
        <v>411</v>
      </c>
      <c r="D18" t="s">
        <v>412</v>
      </c>
      <c r="E18" t="s">
        <v>413</v>
      </c>
      <c r="F18" t="s">
        <v>415</v>
      </c>
      <c r="G18" t="s">
        <v>414</v>
      </c>
    </row>
    <row r="19" spans="1:7" hidden="1" x14ac:dyDescent="0.35">
      <c r="A19" t="s">
        <v>18</v>
      </c>
      <c r="B19" t="s">
        <v>347</v>
      </c>
      <c r="C19" t="s">
        <v>416</v>
      </c>
      <c r="D19" t="s">
        <v>417</v>
      </c>
      <c r="E19" t="s">
        <v>418</v>
      </c>
      <c r="F19" t="s">
        <v>419</v>
      </c>
      <c r="G19" t="s">
        <v>414</v>
      </c>
    </row>
    <row r="20" spans="1:7" hidden="1" x14ac:dyDescent="0.35">
      <c r="A20" t="s">
        <v>20</v>
      </c>
      <c r="B20" t="s">
        <v>347</v>
      </c>
      <c r="C20" t="s">
        <v>411</v>
      </c>
      <c r="D20" t="s">
        <v>420</v>
      </c>
      <c r="E20" t="s">
        <v>421</v>
      </c>
      <c r="F20" t="s">
        <v>422</v>
      </c>
      <c r="G20" t="s">
        <v>414</v>
      </c>
    </row>
    <row r="21" spans="1:7" hidden="1" x14ac:dyDescent="0.35">
      <c r="A21" t="s">
        <v>22</v>
      </c>
      <c r="B21" t="s">
        <v>347</v>
      </c>
      <c r="C21" t="s">
        <v>416</v>
      </c>
      <c r="D21" t="s">
        <v>423</v>
      </c>
      <c r="E21" t="s">
        <v>424</v>
      </c>
      <c r="F21" t="s">
        <v>425</v>
      </c>
      <c r="G21" t="s">
        <v>414</v>
      </c>
    </row>
    <row r="22" spans="1:7" hidden="1" x14ac:dyDescent="0.35">
      <c r="A22" t="s">
        <v>23</v>
      </c>
      <c r="B22" t="s">
        <v>347</v>
      </c>
      <c r="C22" t="s">
        <v>411</v>
      </c>
      <c r="D22" t="s">
        <v>426</v>
      </c>
      <c r="E22" t="s">
        <v>427</v>
      </c>
      <c r="F22" t="s">
        <v>428</v>
      </c>
      <c r="G22" t="s">
        <v>414</v>
      </c>
    </row>
    <row r="23" spans="1:7" hidden="1" x14ac:dyDescent="0.35">
      <c r="A23" t="s">
        <v>26</v>
      </c>
      <c r="B23" t="s">
        <v>347</v>
      </c>
      <c r="C23" t="s">
        <v>416</v>
      </c>
      <c r="D23" t="s">
        <v>429</v>
      </c>
      <c r="E23" t="s">
        <v>430</v>
      </c>
      <c r="F23" t="s">
        <v>431</v>
      </c>
      <c r="G23" t="s">
        <v>414</v>
      </c>
    </row>
    <row r="24" spans="1:7" hidden="1" x14ac:dyDescent="0.35">
      <c r="A24" t="s">
        <v>29</v>
      </c>
      <c r="B24" t="s">
        <v>347</v>
      </c>
      <c r="C24" t="s">
        <v>416</v>
      </c>
      <c r="D24" t="s">
        <v>432</v>
      </c>
      <c r="E24" t="s">
        <v>433</v>
      </c>
      <c r="F24" t="s">
        <v>434</v>
      </c>
      <c r="G24" t="s">
        <v>414</v>
      </c>
    </row>
    <row r="25" spans="1:7" hidden="1" x14ac:dyDescent="0.35">
      <c r="A25" t="s">
        <v>30</v>
      </c>
      <c r="B25" t="s">
        <v>347</v>
      </c>
      <c r="C25" t="s">
        <v>416</v>
      </c>
      <c r="D25" t="s">
        <v>435</v>
      </c>
      <c r="E25" t="s">
        <v>436</v>
      </c>
      <c r="F25" t="s">
        <v>437</v>
      </c>
      <c r="G25" t="s">
        <v>414</v>
      </c>
    </row>
    <row r="26" spans="1:7" hidden="1" x14ac:dyDescent="0.35">
      <c r="A26" t="s">
        <v>31</v>
      </c>
      <c r="B26" t="s">
        <v>347</v>
      </c>
      <c r="C26" t="s">
        <v>416</v>
      </c>
      <c r="D26" t="s">
        <v>438</v>
      </c>
      <c r="E26" t="s">
        <v>439</v>
      </c>
      <c r="F26" t="s">
        <v>440</v>
      </c>
      <c r="G26" t="s">
        <v>414</v>
      </c>
    </row>
    <row r="27" spans="1:7" hidden="1" x14ac:dyDescent="0.35">
      <c r="A27" t="s">
        <v>32</v>
      </c>
      <c r="B27" t="s">
        <v>347</v>
      </c>
      <c r="C27" t="s">
        <v>416</v>
      </c>
      <c r="D27" t="s">
        <v>441</v>
      </c>
      <c r="E27" t="s">
        <v>442</v>
      </c>
      <c r="F27" t="s">
        <v>443</v>
      </c>
      <c r="G27" t="s">
        <v>414</v>
      </c>
    </row>
    <row r="28" spans="1:7" hidden="1" x14ac:dyDescent="0.35">
      <c r="A28" t="s">
        <v>33</v>
      </c>
      <c r="B28" t="s">
        <v>347</v>
      </c>
      <c r="C28" t="s">
        <v>411</v>
      </c>
      <c r="D28" t="s">
        <v>444</v>
      </c>
      <c r="E28" t="s">
        <v>445</v>
      </c>
      <c r="F28" t="s">
        <v>446</v>
      </c>
      <c r="G28" t="s">
        <v>414</v>
      </c>
    </row>
    <row r="29" spans="1:7" x14ac:dyDescent="0.35">
      <c r="A29" t="s">
        <v>29</v>
      </c>
      <c r="B29" t="s">
        <v>347</v>
      </c>
      <c r="C29" t="s">
        <v>37</v>
      </c>
      <c r="D29" t="s">
        <v>391</v>
      </c>
      <c r="E29" t="s">
        <v>392</v>
      </c>
      <c r="F29" t="s">
        <v>394</v>
      </c>
      <c r="G29" t="s">
        <v>393</v>
      </c>
    </row>
    <row r="30" spans="1:7" hidden="1" x14ac:dyDescent="0.35">
      <c r="A30" t="s">
        <v>19</v>
      </c>
      <c r="B30" t="s">
        <v>347</v>
      </c>
      <c r="C30" t="s">
        <v>416</v>
      </c>
      <c r="D30" t="s">
        <v>451</v>
      </c>
      <c r="E30" t="s">
        <v>452</v>
      </c>
      <c r="F30" t="s">
        <v>453</v>
      </c>
      <c r="G30" t="s">
        <v>414</v>
      </c>
    </row>
    <row r="31" spans="1:7" x14ac:dyDescent="0.35">
      <c r="A31" t="s">
        <v>30</v>
      </c>
      <c r="B31" t="s">
        <v>347</v>
      </c>
      <c r="C31" t="s">
        <v>37</v>
      </c>
      <c r="D31" t="s">
        <v>395</v>
      </c>
      <c r="E31" t="s">
        <v>396</v>
      </c>
      <c r="F31" t="s">
        <v>398</v>
      </c>
      <c r="G31" t="s">
        <v>397</v>
      </c>
    </row>
    <row r="32" spans="1:7" x14ac:dyDescent="0.35">
      <c r="A32" t="s">
        <v>31</v>
      </c>
      <c r="B32" t="s">
        <v>347</v>
      </c>
      <c r="C32" t="s">
        <v>37</v>
      </c>
      <c r="D32" t="s">
        <v>399</v>
      </c>
      <c r="E32" t="s">
        <v>400</v>
      </c>
      <c r="F32" t="s">
        <v>402</v>
      </c>
      <c r="G32" t="s">
        <v>401</v>
      </c>
    </row>
    <row r="33" spans="1:7" x14ac:dyDescent="0.35">
      <c r="A33" t="s">
        <v>32</v>
      </c>
      <c r="B33" t="s">
        <v>347</v>
      </c>
      <c r="C33" t="s">
        <v>37</v>
      </c>
      <c r="D33" t="s">
        <v>403</v>
      </c>
      <c r="E33" t="s">
        <v>404</v>
      </c>
      <c r="F33" t="s">
        <v>406</v>
      </c>
      <c r="G33" t="s">
        <v>405</v>
      </c>
    </row>
    <row r="34" spans="1:7" x14ac:dyDescent="0.35">
      <c r="A34" t="s">
        <v>33</v>
      </c>
      <c r="B34" t="s">
        <v>347</v>
      </c>
      <c r="C34" t="s">
        <v>35</v>
      </c>
      <c r="D34" t="s">
        <v>407</v>
      </c>
      <c r="E34" t="s">
        <v>408</v>
      </c>
      <c r="F34" t="s">
        <v>410</v>
      </c>
      <c r="G34" t="s">
        <v>409</v>
      </c>
    </row>
    <row r="35" spans="1:7" x14ac:dyDescent="0.35">
      <c r="A35" t="s">
        <v>33</v>
      </c>
      <c r="B35" t="s">
        <v>347</v>
      </c>
      <c r="C35" t="s">
        <v>36</v>
      </c>
      <c r="D35" t="s">
        <v>468</v>
      </c>
      <c r="E35" t="s">
        <v>469</v>
      </c>
      <c r="F35" t="s">
        <v>471</v>
      </c>
      <c r="G35" t="s">
        <v>470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8805-B7C7-4EC7-B194-4DB0911705EB}">
  <dimension ref="A1:D38"/>
  <sheetViews>
    <sheetView topLeftCell="C17" workbookViewId="0">
      <selection activeCell="B38" sqref="B38:D38"/>
    </sheetView>
  </sheetViews>
  <sheetFormatPr defaultRowHeight="14.5" x14ac:dyDescent="0.35"/>
  <cols>
    <col min="1" max="1" width="28.08984375" customWidth="1"/>
    <col min="2" max="4" width="80.7265625" bestFit="1" customWidth="1"/>
  </cols>
  <sheetData>
    <row r="1" spans="1:4" x14ac:dyDescent="0.35">
      <c r="A1" t="s">
        <v>0</v>
      </c>
      <c r="B1" t="s">
        <v>472</v>
      </c>
      <c r="C1" t="s">
        <v>127</v>
      </c>
      <c r="D1" t="s">
        <v>130</v>
      </c>
    </row>
    <row r="2" spans="1:4" x14ac:dyDescent="0.35">
      <c r="A2" t="s">
        <v>473</v>
      </c>
      <c r="B2" t="s">
        <v>476</v>
      </c>
      <c r="C2" t="s">
        <v>474</v>
      </c>
      <c r="D2" t="s">
        <v>475</v>
      </c>
    </row>
    <row r="3" spans="1:4" x14ac:dyDescent="0.35">
      <c r="A3" t="s">
        <v>15</v>
      </c>
      <c r="B3" t="s">
        <v>479</v>
      </c>
      <c r="C3" t="s">
        <v>477</v>
      </c>
      <c r="D3" t="s">
        <v>478</v>
      </c>
    </row>
    <row r="4" spans="1:4" x14ac:dyDescent="0.35">
      <c r="A4" t="s">
        <v>480</v>
      </c>
      <c r="B4" t="s">
        <v>483</v>
      </c>
      <c r="C4" t="s">
        <v>481</v>
      </c>
      <c r="D4" t="s">
        <v>482</v>
      </c>
    </row>
    <row r="5" spans="1:4" x14ac:dyDescent="0.35">
      <c r="A5" t="s">
        <v>59</v>
      </c>
      <c r="B5" t="s">
        <v>486</v>
      </c>
      <c r="C5" t="s">
        <v>484</v>
      </c>
      <c r="D5" t="s">
        <v>485</v>
      </c>
    </row>
    <row r="6" spans="1:4" x14ac:dyDescent="0.35">
      <c r="A6" t="s">
        <v>65</v>
      </c>
      <c r="B6" t="s">
        <v>489</v>
      </c>
      <c r="C6" t="s">
        <v>487</v>
      </c>
      <c r="D6" t="s">
        <v>488</v>
      </c>
    </row>
    <row r="7" spans="1:4" x14ac:dyDescent="0.35">
      <c r="A7" t="s">
        <v>62</v>
      </c>
      <c r="B7" t="s">
        <v>492</v>
      </c>
      <c r="C7" t="s">
        <v>490</v>
      </c>
      <c r="D7" t="s">
        <v>491</v>
      </c>
    </row>
    <row r="8" spans="1:4" x14ac:dyDescent="0.35">
      <c r="A8" t="s">
        <v>493</v>
      </c>
      <c r="B8" t="s">
        <v>496</v>
      </c>
      <c r="C8" t="s">
        <v>494</v>
      </c>
      <c r="D8" t="s">
        <v>495</v>
      </c>
    </row>
    <row r="9" spans="1:4" x14ac:dyDescent="0.35">
      <c r="A9" t="s">
        <v>142</v>
      </c>
      <c r="B9" t="s">
        <v>499</v>
      </c>
      <c r="C9" t="s">
        <v>497</v>
      </c>
      <c r="D9" t="s">
        <v>498</v>
      </c>
    </row>
    <row r="10" spans="1:4" x14ac:dyDescent="0.35">
      <c r="A10" t="s">
        <v>500</v>
      </c>
      <c r="B10" t="s">
        <v>503</v>
      </c>
      <c r="C10" t="s">
        <v>501</v>
      </c>
      <c r="D10" t="s">
        <v>502</v>
      </c>
    </row>
    <row r="11" spans="1:4" x14ac:dyDescent="0.35">
      <c r="A11" t="s">
        <v>504</v>
      </c>
      <c r="B11" t="s">
        <v>507</v>
      </c>
      <c r="C11" t="s">
        <v>505</v>
      </c>
      <c r="D11" t="s">
        <v>506</v>
      </c>
    </row>
    <row r="12" spans="1:4" x14ac:dyDescent="0.35">
      <c r="A12" t="s">
        <v>508</v>
      </c>
      <c r="B12" t="s">
        <v>511</v>
      </c>
      <c r="C12" t="s">
        <v>509</v>
      </c>
      <c r="D12" t="s">
        <v>510</v>
      </c>
    </row>
    <row r="13" spans="1:4" x14ac:dyDescent="0.35">
      <c r="A13" t="s">
        <v>512</v>
      </c>
      <c r="B13" t="s">
        <v>515</v>
      </c>
      <c r="C13" t="s">
        <v>513</v>
      </c>
      <c r="D13" t="s">
        <v>514</v>
      </c>
    </row>
    <row r="14" spans="1:4" x14ac:dyDescent="0.35">
      <c r="A14" t="s">
        <v>516</v>
      </c>
      <c r="B14" t="s">
        <v>519</v>
      </c>
      <c r="C14" t="s">
        <v>517</v>
      </c>
      <c r="D14" t="s">
        <v>518</v>
      </c>
    </row>
    <row r="15" spans="1:4" x14ac:dyDescent="0.35">
      <c r="A15" t="s">
        <v>20</v>
      </c>
      <c r="B15" t="s">
        <v>522</v>
      </c>
      <c r="C15" t="s">
        <v>520</v>
      </c>
      <c r="D15" t="s">
        <v>521</v>
      </c>
    </row>
    <row r="16" spans="1:4" x14ac:dyDescent="0.35">
      <c r="A16" t="s">
        <v>523</v>
      </c>
      <c r="B16" t="s">
        <v>526</v>
      </c>
      <c r="C16" t="s">
        <v>524</v>
      </c>
      <c r="D16" t="s">
        <v>525</v>
      </c>
    </row>
    <row r="17" spans="1:4" x14ac:dyDescent="0.35">
      <c r="A17" t="s">
        <v>527</v>
      </c>
      <c r="B17" t="s">
        <v>530</v>
      </c>
      <c r="C17" t="s">
        <v>528</v>
      </c>
      <c r="D17" t="s">
        <v>529</v>
      </c>
    </row>
    <row r="18" spans="1:4" x14ac:dyDescent="0.35">
      <c r="A18" t="s">
        <v>531</v>
      </c>
      <c r="B18" t="s">
        <v>534</v>
      </c>
      <c r="C18" t="s">
        <v>532</v>
      </c>
      <c r="D18" t="s">
        <v>533</v>
      </c>
    </row>
    <row r="19" spans="1:4" x14ac:dyDescent="0.35">
      <c r="A19" t="s">
        <v>78</v>
      </c>
      <c r="B19" t="s">
        <v>537</v>
      </c>
      <c r="C19" t="s">
        <v>535</v>
      </c>
      <c r="D19" t="s">
        <v>536</v>
      </c>
    </row>
    <row r="20" spans="1:4" x14ac:dyDescent="0.35">
      <c r="A20" t="s">
        <v>538</v>
      </c>
      <c r="B20" t="s">
        <v>541</v>
      </c>
      <c r="C20" t="s">
        <v>539</v>
      </c>
      <c r="D20" t="s">
        <v>540</v>
      </c>
    </row>
    <row r="21" spans="1:4" x14ac:dyDescent="0.35">
      <c r="A21" t="s">
        <v>542</v>
      </c>
      <c r="B21" t="s">
        <v>545</v>
      </c>
      <c r="C21" t="s">
        <v>543</v>
      </c>
      <c r="D21" t="s">
        <v>544</v>
      </c>
    </row>
    <row r="22" spans="1:4" x14ac:dyDescent="0.35">
      <c r="A22" t="s">
        <v>546</v>
      </c>
      <c r="B22" t="s">
        <v>549</v>
      </c>
      <c r="C22" t="s">
        <v>547</v>
      </c>
      <c r="D22" t="s">
        <v>548</v>
      </c>
    </row>
    <row r="23" spans="1:4" x14ac:dyDescent="0.35">
      <c r="A23" t="s">
        <v>550</v>
      </c>
      <c r="B23" t="s">
        <v>553</v>
      </c>
      <c r="C23" t="s">
        <v>551</v>
      </c>
      <c r="D23" t="s">
        <v>552</v>
      </c>
    </row>
    <row r="24" spans="1:4" x14ac:dyDescent="0.35">
      <c r="A24" t="s">
        <v>554</v>
      </c>
      <c r="B24" t="s">
        <v>557</v>
      </c>
      <c r="C24" t="s">
        <v>555</v>
      </c>
      <c r="D24" t="s">
        <v>556</v>
      </c>
    </row>
    <row r="25" spans="1:4" x14ac:dyDescent="0.35">
      <c r="A25" t="s">
        <v>24</v>
      </c>
      <c r="B25" t="s">
        <v>560</v>
      </c>
      <c r="C25" t="s">
        <v>558</v>
      </c>
      <c r="D25" t="s">
        <v>559</v>
      </c>
    </row>
    <row r="26" spans="1:4" x14ac:dyDescent="0.35">
      <c r="A26" t="s">
        <v>23</v>
      </c>
      <c r="B26" t="s">
        <v>563</v>
      </c>
      <c r="C26" t="s">
        <v>561</v>
      </c>
      <c r="D26" t="s">
        <v>562</v>
      </c>
    </row>
    <row r="27" spans="1:4" x14ac:dyDescent="0.35">
      <c r="A27" t="s">
        <v>564</v>
      </c>
      <c r="B27" t="s">
        <v>567</v>
      </c>
      <c r="C27" t="s">
        <v>565</v>
      </c>
      <c r="D27" t="s">
        <v>566</v>
      </c>
    </row>
    <row r="28" spans="1:4" x14ac:dyDescent="0.35">
      <c r="A28" t="s">
        <v>568</v>
      </c>
      <c r="B28" t="s">
        <v>571</v>
      </c>
      <c r="C28" t="s">
        <v>569</v>
      </c>
      <c r="D28" t="s">
        <v>570</v>
      </c>
    </row>
    <row r="29" spans="1:4" x14ac:dyDescent="0.35">
      <c r="A29" t="s">
        <v>572</v>
      </c>
      <c r="B29" t="s">
        <v>575</v>
      </c>
      <c r="C29" t="s">
        <v>573</v>
      </c>
      <c r="D29" t="s">
        <v>574</v>
      </c>
    </row>
    <row r="30" spans="1:4" x14ac:dyDescent="0.35">
      <c r="A30" t="s">
        <v>104</v>
      </c>
      <c r="B30" t="s">
        <v>578</v>
      </c>
      <c r="C30" t="s">
        <v>576</v>
      </c>
      <c r="D30" t="s">
        <v>577</v>
      </c>
    </row>
    <row r="31" spans="1:4" x14ac:dyDescent="0.35">
      <c r="A31" t="s">
        <v>26</v>
      </c>
      <c r="B31" t="s">
        <v>581</v>
      </c>
      <c r="C31" t="s">
        <v>579</v>
      </c>
      <c r="D31" t="s">
        <v>580</v>
      </c>
    </row>
    <row r="32" spans="1:4" x14ac:dyDescent="0.35">
      <c r="A32" t="s">
        <v>25</v>
      </c>
      <c r="B32" t="s">
        <v>584</v>
      </c>
      <c r="C32" t="s">
        <v>582</v>
      </c>
      <c r="D32" t="s">
        <v>583</v>
      </c>
    </row>
    <row r="33" spans="1:4" x14ac:dyDescent="0.35">
      <c r="A33" t="s">
        <v>27</v>
      </c>
      <c r="B33" t="s">
        <v>587</v>
      </c>
      <c r="C33" t="s">
        <v>585</v>
      </c>
      <c r="D33" t="s">
        <v>586</v>
      </c>
    </row>
    <row r="34" spans="1:4" x14ac:dyDescent="0.35">
      <c r="A34" t="s">
        <v>28</v>
      </c>
      <c r="B34" t="s">
        <v>590</v>
      </c>
      <c r="C34" t="s">
        <v>588</v>
      </c>
      <c r="D34" t="s">
        <v>589</v>
      </c>
    </row>
    <row r="35" spans="1:4" x14ac:dyDescent="0.35">
      <c r="A35" t="s">
        <v>591</v>
      </c>
      <c r="B35" t="s">
        <v>594</v>
      </c>
      <c r="C35" t="s">
        <v>592</v>
      </c>
      <c r="D35" t="s">
        <v>593</v>
      </c>
    </row>
    <row r="36" spans="1:4" x14ac:dyDescent="0.35">
      <c r="A36" t="s">
        <v>595</v>
      </c>
      <c r="B36" t="s">
        <v>598</v>
      </c>
      <c r="C36" t="s">
        <v>596</v>
      </c>
      <c r="D36" t="s">
        <v>597</v>
      </c>
    </row>
    <row r="37" spans="1:4" x14ac:dyDescent="0.35">
      <c r="A37" t="s">
        <v>32</v>
      </c>
      <c r="B37" t="s">
        <v>601</v>
      </c>
      <c r="C37" t="s">
        <v>599</v>
      </c>
      <c r="D37" t="s">
        <v>600</v>
      </c>
    </row>
    <row r="38" spans="1:4" x14ac:dyDescent="0.35">
      <c r="A38" t="s">
        <v>33</v>
      </c>
      <c r="B38" t="s">
        <v>604</v>
      </c>
      <c r="C38" t="s">
        <v>602</v>
      </c>
      <c r="D38" t="s">
        <v>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9E33-3F34-49B5-848C-E1F20B5972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35">
      <c r="A2" t="s">
        <v>45</v>
      </c>
      <c r="B2" t="s">
        <v>46</v>
      </c>
      <c r="C2" t="s">
        <v>47</v>
      </c>
      <c r="D2" t="s">
        <v>48</v>
      </c>
      <c r="E2" t="s">
        <v>45</v>
      </c>
    </row>
    <row r="3" spans="1:5" x14ac:dyDescent="0.35">
      <c r="A3" t="s">
        <v>49</v>
      </c>
      <c r="B3" t="s">
        <v>50</v>
      </c>
      <c r="C3" t="s">
        <v>51</v>
      </c>
      <c r="D3" t="s">
        <v>49</v>
      </c>
      <c r="E3" t="s">
        <v>49</v>
      </c>
    </row>
    <row r="4" spans="1:5" x14ac:dyDescent="0.35">
      <c r="A4" t="s">
        <v>15</v>
      </c>
      <c r="B4" t="s">
        <v>15</v>
      </c>
      <c r="C4" t="s">
        <v>52</v>
      </c>
      <c r="D4" t="s">
        <v>15</v>
      </c>
      <c r="E4" t="s">
        <v>15</v>
      </c>
    </row>
    <row r="5" spans="1:5" x14ac:dyDescent="0.35">
      <c r="A5" t="s">
        <v>16</v>
      </c>
      <c r="B5" t="s">
        <v>53</v>
      </c>
      <c r="C5" t="s">
        <v>54</v>
      </c>
      <c r="D5" t="s">
        <v>55</v>
      </c>
      <c r="E5" t="s">
        <v>16</v>
      </c>
    </row>
    <row r="6" spans="1:5" x14ac:dyDescent="0.35">
      <c r="A6" t="s">
        <v>17</v>
      </c>
      <c r="B6" t="s">
        <v>56</v>
      </c>
      <c r="C6" t="s">
        <v>57</v>
      </c>
      <c r="D6" t="s">
        <v>58</v>
      </c>
      <c r="E6" t="s">
        <v>17</v>
      </c>
    </row>
    <row r="7" spans="1:5" x14ac:dyDescent="0.35">
      <c r="A7" t="s">
        <v>59</v>
      </c>
      <c r="B7" t="s">
        <v>60</v>
      </c>
      <c r="C7" t="s">
        <v>61</v>
      </c>
      <c r="D7" t="s">
        <v>59</v>
      </c>
      <c r="E7" t="s">
        <v>59</v>
      </c>
    </row>
    <row r="8" spans="1:5" x14ac:dyDescent="0.35">
      <c r="A8" t="s">
        <v>62</v>
      </c>
      <c r="B8" t="s">
        <v>63</v>
      </c>
      <c r="C8" t="s">
        <v>64</v>
      </c>
      <c r="D8" t="s">
        <v>62</v>
      </c>
      <c r="E8" t="s">
        <v>62</v>
      </c>
    </row>
    <row r="9" spans="1:5" x14ac:dyDescent="0.35">
      <c r="A9" t="s">
        <v>65</v>
      </c>
      <c r="B9" t="s">
        <v>66</v>
      </c>
      <c r="C9" t="s">
        <v>67</v>
      </c>
      <c r="D9" t="s">
        <v>68</v>
      </c>
      <c r="E9" t="s">
        <v>65</v>
      </c>
    </row>
    <row r="10" spans="1:5" x14ac:dyDescent="0.35">
      <c r="A10" t="s">
        <v>18</v>
      </c>
      <c r="B10" t="s">
        <v>69</v>
      </c>
      <c r="C10" t="s">
        <v>70</v>
      </c>
      <c r="D10" t="s">
        <v>18</v>
      </c>
      <c r="E10" t="s">
        <v>18</v>
      </c>
    </row>
    <row r="11" spans="1:5" x14ac:dyDescent="0.35">
      <c r="A11" t="s">
        <v>71</v>
      </c>
      <c r="B11" t="s">
        <v>71</v>
      </c>
      <c r="C11" t="s">
        <v>47</v>
      </c>
      <c r="D11" t="s">
        <v>48</v>
      </c>
      <c r="E11" t="s">
        <v>71</v>
      </c>
    </row>
    <row r="12" spans="1:5" x14ac:dyDescent="0.35">
      <c r="A12" t="s">
        <v>19</v>
      </c>
      <c r="B12" t="s">
        <v>72</v>
      </c>
      <c r="C12" t="s">
        <v>73</v>
      </c>
      <c r="D12" t="s">
        <v>19</v>
      </c>
      <c r="E12" t="s">
        <v>74</v>
      </c>
    </row>
    <row r="13" spans="1:5" x14ac:dyDescent="0.35">
      <c r="A13" t="s">
        <v>20</v>
      </c>
      <c r="B13" t="s">
        <v>75</v>
      </c>
      <c r="C13" t="s">
        <v>76</v>
      </c>
      <c r="D13" t="s">
        <v>20</v>
      </c>
      <c r="E13" t="s">
        <v>20</v>
      </c>
    </row>
    <row r="14" spans="1:5" x14ac:dyDescent="0.35">
      <c r="A14" t="s">
        <v>77</v>
      </c>
      <c r="B14" t="s">
        <v>78</v>
      </c>
      <c r="C14" t="s">
        <v>79</v>
      </c>
      <c r="D14" t="s">
        <v>80</v>
      </c>
      <c r="E14" t="s">
        <v>77</v>
      </c>
    </row>
    <row r="15" spans="1:5" x14ac:dyDescent="0.35">
      <c r="A15" t="s">
        <v>81</v>
      </c>
      <c r="B15" t="s">
        <v>82</v>
      </c>
      <c r="C15" t="s">
        <v>47</v>
      </c>
      <c r="D15" t="s">
        <v>48</v>
      </c>
      <c r="E15" t="s">
        <v>81</v>
      </c>
    </row>
    <row r="16" spans="1:5" x14ac:dyDescent="0.35">
      <c r="A16" t="s">
        <v>21</v>
      </c>
      <c r="B16" t="s">
        <v>83</v>
      </c>
      <c r="C16" t="s">
        <v>84</v>
      </c>
      <c r="D16" t="s">
        <v>21</v>
      </c>
      <c r="E16" t="s">
        <v>21</v>
      </c>
    </row>
    <row r="17" spans="1:5" x14ac:dyDescent="0.35">
      <c r="A17" t="s">
        <v>85</v>
      </c>
      <c r="B17" t="s">
        <v>86</v>
      </c>
      <c r="C17" t="s">
        <v>87</v>
      </c>
      <c r="D17" t="s">
        <v>88</v>
      </c>
      <c r="E17" t="s">
        <v>85</v>
      </c>
    </row>
    <row r="18" spans="1:5" x14ac:dyDescent="0.35">
      <c r="A18" t="s">
        <v>22</v>
      </c>
      <c r="B18" t="s">
        <v>89</v>
      </c>
      <c r="C18" t="s">
        <v>90</v>
      </c>
      <c r="D18" t="s">
        <v>22</v>
      </c>
      <c r="E18" t="s">
        <v>91</v>
      </c>
    </row>
    <row r="19" spans="1:5" x14ac:dyDescent="0.35">
      <c r="A19" t="s">
        <v>23</v>
      </c>
      <c r="B19" t="s">
        <v>92</v>
      </c>
      <c r="C19" t="s">
        <v>93</v>
      </c>
      <c r="D19" t="s">
        <v>23</v>
      </c>
      <c r="E19" t="s">
        <v>94</v>
      </c>
    </row>
    <row r="20" spans="1:5" x14ac:dyDescent="0.35">
      <c r="A20" t="s">
        <v>24</v>
      </c>
      <c r="B20" t="s">
        <v>24</v>
      </c>
      <c r="C20" t="s">
        <v>95</v>
      </c>
      <c r="D20" t="s">
        <v>24</v>
      </c>
      <c r="E20" t="s">
        <v>24</v>
      </c>
    </row>
    <row r="21" spans="1:5" x14ac:dyDescent="0.35">
      <c r="A21" t="s">
        <v>25</v>
      </c>
      <c r="B21" t="s">
        <v>25</v>
      </c>
      <c r="C21" t="s">
        <v>96</v>
      </c>
      <c r="D21" t="s">
        <v>25</v>
      </c>
      <c r="E21" t="s">
        <v>25</v>
      </c>
    </row>
    <row r="22" spans="1:5" x14ac:dyDescent="0.35">
      <c r="A22" t="s">
        <v>26</v>
      </c>
      <c r="B22" t="s">
        <v>97</v>
      </c>
      <c r="C22" t="s">
        <v>98</v>
      </c>
      <c r="D22" t="s">
        <v>26</v>
      </c>
      <c r="E22" t="s">
        <v>99</v>
      </c>
    </row>
    <row r="23" spans="1:5" x14ac:dyDescent="0.35">
      <c r="A23" t="s">
        <v>100</v>
      </c>
      <c r="B23" t="s">
        <v>27</v>
      </c>
      <c r="C23" t="s">
        <v>101</v>
      </c>
      <c r="D23" t="s">
        <v>100</v>
      </c>
      <c r="E23" t="s">
        <v>100</v>
      </c>
    </row>
    <row r="24" spans="1:5" x14ac:dyDescent="0.35">
      <c r="A24" t="s">
        <v>28</v>
      </c>
      <c r="B24" t="s">
        <v>102</v>
      </c>
      <c r="C24" t="s">
        <v>103</v>
      </c>
      <c r="D24" t="s">
        <v>28</v>
      </c>
      <c r="E24" t="s">
        <v>28</v>
      </c>
    </row>
    <row r="25" spans="1:5" x14ac:dyDescent="0.35">
      <c r="A25" t="s">
        <v>29</v>
      </c>
      <c r="B25" t="s">
        <v>104</v>
      </c>
      <c r="C25" t="s">
        <v>105</v>
      </c>
      <c r="D25" t="s">
        <v>29</v>
      </c>
      <c r="E25" t="s">
        <v>29</v>
      </c>
    </row>
    <row r="26" spans="1:5" x14ac:dyDescent="0.35">
      <c r="A26" t="s">
        <v>30</v>
      </c>
      <c r="B26" t="s">
        <v>106</v>
      </c>
      <c r="C26" t="s">
        <v>107</v>
      </c>
      <c r="D26" t="s">
        <v>108</v>
      </c>
      <c r="E26" t="s">
        <v>91</v>
      </c>
    </row>
    <row r="27" spans="1:5" x14ac:dyDescent="0.35">
      <c r="A27" t="s">
        <v>31</v>
      </c>
      <c r="B27" t="s">
        <v>109</v>
      </c>
      <c r="C27" t="s">
        <v>110</v>
      </c>
      <c r="D27" t="s">
        <v>31</v>
      </c>
      <c r="E27" t="s">
        <v>31</v>
      </c>
    </row>
    <row r="28" spans="1:5" x14ac:dyDescent="0.35">
      <c r="A28" t="s">
        <v>32</v>
      </c>
      <c r="B28" t="s">
        <v>111</v>
      </c>
      <c r="C28" t="s">
        <v>112</v>
      </c>
      <c r="D28" t="s">
        <v>32</v>
      </c>
      <c r="E28" t="s">
        <v>32</v>
      </c>
    </row>
    <row r="29" spans="1:5" x14ac:dyDescent="0.35">
      <c r="A29" t="s">
        <v>33</v>
      </c>
      <c r="B29" t="s">
        <v>33</v>
      </c>
      <c r="C29" t="s">
        <v>113</v>
      </c>
      <c r="D29" t="s">
        <v>33</v>
      </c>
      <c r="E29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topLeftCell="G1" workbookViewId="0"/>
  </sheetViews>
  <sheetFormatPr defaultRowHeight="14.5" x14ac:dyDescent="0.35"/>
  <cols>
    <col min="1" max="1" width="33.453125" bestFit="1" customWidth="1"/>
  </cols>
  <sheetData>
    <row r="1" spans="1:28" x14ac:dyDescent="0.35">
      <c r="A1" t="s">
        <v>115</v>
      </c>
      <c r="B1" t="s">
        <v>116</v>
      </c>
      <c r="C1" t="s">
        <v>43</v>
      </c>
      <c r="D1" t="s">
        <v>117</v>
      </c>
      <c r="E1" t="s">
        <v>118</v>
      </c>
      <c r="F1" t="s">
        <v>119</v>
      </c>
      <c r="I1" t="s">
        <v>115</v>
      </c>
      <c r="J1" t="s">
        <v>116</v>
      </c>
      <c r="K1" t="s">
        <v>43</v>
      </c>
      <c r="L1" t="s">
        <v>117</v>
      </c>
      <c r="M1" t="s">
        <v>118</v>
      </c>
      <c r="N1" t="s">
        <v>119</v>
      </c>
      <c r="P1" t="s">
        <v>128</v>
      </c>
      <c r="Q1" t="s">
        <v>121</v>
      </c>
      <c r="R1" t="s">
        <v>122</v>
      </c>
      <c r="S1" t="s">
        <v>49</v>
      </c>
      <c r="T1" t="s">
        <v>129</v>
      </c>
      <c r="U1" t="s">
        <v>130</v>
      </c>
      <c r="W1" t="s">
        <v>120</v>
      </c>
      <c r="X1" t="s">
        <v>121</v>
      </c>
      <c r="Y1" t="s">
        <v>122</v>
      </c>
      <c r="Z1" t="s">
        <v>49</v>
      </c>
      <c r="AA1" t="s">
        <v>123</v>
      </c>
      <c r="AB1" t="s">
        <v>124</v>
      </c>
    </row>
    <row r="2" spans="1:28" x14ac:dyDescent="0.35">
      <c r="A2" t="s">
        <v>120</v>
      </c>
      <c r="B2" t="s">
        <v>121</v>
      </c>
      <c r="C2" t="s">
        <v>122</v>
      </c>
      <c r="D2" t="s">
        <v>49</v>
      </c>
      <c r="E2" t="s">
        <v>123</v>
      </c>
      <c r="F2" t="s">
        <v>124</v>
      </c>
      <c r="I2" t="s">
        <v>125</v>
      </c>
      <c r="J2" t="s">
        <v>121</v>
      </c>
      <c r="K2" t="s">
        <v>122</v>
      </c>
      <c r="L2" t="s">
        <v>49</v>
      </c>
      <c r="M2" t="s">
        <v>126</v>
      </c>
      <c r="N2" t="s">
        <v>127</v>
      </c>
      <c r="P2" t="s">
        <v>134</v>
      </c>
      <c r="Q2" t="s">
        <v>121</v>
      </c>
      <c r="R2" t="s">
        <v>132</v>
      </c>
      <c r="S2" t="s">
        <v>15</v>
      </c>
      <c r="T2" t="s">
        <v>129</v>
      </c>
      <c r="U2" t="s">
        <v>130</v>
      </c>
      <c r="W2" t="s">
        <v>131</v>
      </c>
      <c r="X2" t="s">
        <v>121</v>
      </c>
      <c r="Y2" t="s">
        <v>132</v>
      </c>
      <c r="Z2" t="s">
        <v>15</v>
      </c>
      <c r="AA2" t="s">
        <v>123</v>
      </c>
      <c r="AB2" t="s">
        <v>124</v>
      </c>
    </row>
    <row r="3" spans="1:28" x14ac:dyDescent="0.35">
      <c r="A3" t="s">
        <v>125</v>
      </c>
      <c r="B3" t="s">
        <v>121</v>
      </c>
      <c r="C3" t="s">
        <v>122</v>
      </c>
      <c r="D3" t="s">
        <v>49</v>
      </c>
      <c r="E3" t="s">
        <v>126</v>
      </c>
      <c r="F3" t="s">
        <v>127</v>
      </c>
      <c r="I3" t="s">
        <v>133</v>
      </c>
      <c r="J3" t="s">
        <v>121</v>
      </c>
      <c r="K3" t="s">
        <v>132</v>
      </c>
      <c r="L3" t="s">
        <v>15</v>
      </c>
      <c r="M3" t="s">
        <v>126</v>
      </c>
      <c r="N3" t="s">
        <v>127</v>
      </c>
      <c r="P3" t="s">
        <v>139</v>
      </c>
      <c r="Q3" t="s">
        <v>121</v>
      </c>
      <c r="R3" t="s">
        <v>136</v>
      </c>
      <c r="S3" t="s">
        <v>137</v>
      </c>
      <c r="T3" t="s">
        <v>129</v>
      </c>
      <c r="U3" t="s">
        <v>130</v>
      </c>
      <c r="W3" t="s">
        <v>135</v>
      </c>
      <c r="X3" t="s">
        <v>121</v>
      </c>
      <c r="Y3" t="s">
        <v>136</v>
      </c>
      <c r="Z3" t="s">
        <v>137</v>
      </c>
      <c r="AA3" t="s">
        <v>123</v>
      </c>
      <c r="AB3" t="s">
        <v>124</v>
      </c>
    </row>
    <row r="4" spans="1:28" x14ac:dyDescent="0.35">
      <c r="A4" t="s">
        <v>128</v>
      </c>
      <c r="B4" t="s">
        <v>121</v>
      </c>
      <c r="C4" t="s">
        <v>122</v>
      </c>
      <c r="D4" t="s">
        <v>49</v>
      </c>
      <c r="E4" t="s">
        <v>129</v>
      </c>
      <c r="F4" t="s">
        <v>130</v>
      </c>
      <c r="I4" t="s">
        <v>138</v>
      </c>
      <c r="J4" t="s">
        <v>121</v>
      </c>
      <c r="K4" t="s">
        <v>136</v>
      </c>
      <c r="L4" t="s">
        <v>137</v>
      </c>
      <c r="M4" t="s">
        <v>126</v>
      </c>
      <c r="N4" t="s">
        <v>127</v>
      </c>
      <c r="P4" t="s">
        <v>144</v>
      </c>
      <c r="Q4" t="s">
        <v>121</v>
      </c>
      <c r="R4" t="s">
        <v>141</v>
      </c>
      <c r="S4" t="s">
        <v>142</v>
      </c>
      <c r="T4" t="s">
        <v>129</v>
      </c>
      <c r="U4" t="s">
        <v>130</v>
      </c>
      <c r="W4" t="s">
        <v>140</v>
      </c>
      <c r="X4" t="s">
        <v>121</v>
      </c>
      <c r="Y4" t="s">
        <v>141</v>
      </c>
      <c r="Z4" t="s">
        <v>142</v>
      </c>
      <c r="AA4" t="s">
        <v>123</v>
      </c>
      <c r="AB4" t="s">
        <v>124</v>
      </c>
    </row>
    <row r="5" spans="1:28" x14ac:dyDescent="0.35">
      <c r="A5" t="s">
        <v>131</v>
      </c>
      <c r="B5" t="s">
        <v>121</v>
      </c>
      <c r="C5" t="s">
        <v>132</v>
      </c>
      <c r="D5" t="s">
        <v>15</v>
      </c>
      <c r="E5" t="s">
        <v>123</v>
      </c>
      <c r="F5" t="s">
        <v>124</v>
      </c>
      <c r="I5" t="s">
        <v>143</v>
      </c>
      <c r="J5" t="s">
        <v>121</v>
      </c>
      <c r="K5" t="s">
        <v>141</v>
      </c>
      <c r="L5" t="s">
        <v>142</v>
      </c>
      <c r="M5" t="s">
        <v>126</v>
      </c>
      <c r="N5" t="s">
        <v>127</v>
      </c>
      <c r="P5" t="s">
        <v>149</v>
      </c>
      <c r="Q5" t="s">
        <v>121</v>
      </c>
      <c r="R5" t="s">
        <v>146</v>
      </c>
      <c r="S5" t="s">
        <v>147</v>
      </c>
      <c r="T5" t="s">
        <v>129</v>
      </c>
      <c r="U5" t="s">
        <v>130</v>
      </c>
      <c r="W5" t="s">
        <v>145</v>
      </c>
      <c r="X5" t="s">
        <v>121</v>
      </c>
      <c r="Y5" t="s">
        <v>146</v>
      </c>
      <c r="Z5" t="s">
        <v>147</v>
      </c>
      <c r="AA5" t="s">
        <v>123</v>
      </c>
      <c r="AB5" t="s">
        <v>124</v>
      </c>
    </row>
    <row r="6" spans="1:28" x14ac:dyDescent="0.35">
      <c r="A6" t="s">
        <v>133</v>
      </c>
      <c r="B6" t="s">
        <v>121</v>
      </c>
      <c r="C6" t="s">
        <v>132</v>
      </c>
      <c r="D6" t="s">
        <v>15</v>
      </c>
      <c r="E6" t="s">
        <v>126</v>
      </c>
      <c r="F6" t="s">
        <v>127</v>
      </c>
      <c r="I6" t="s">
        <v>148</v>
      </c>
      <c r="J6" t="s">
        <v>121</v>
      </c>
      <c r="K6" t="s">
        <v>146</v>
      </c>
      <c r="L6" t="s">
        <v>147</v>
      </c>
      <c r="M6" t="s">
        <v>126</v>
      </c>
      <c r="N6" t="s">
        <v>127</v>
      </c>
      <c r="P6" t="s">
        <v>153</v>
      </c>
      <c r="Q6" t="s">
        <v>121</v>
      </c>
      <c r="R6" t="s">
        <v>151</v>
      </c>
      <c r="S6" t="s">
        <v>88</v>
      </c>
      <c r="T6" t="s">
        <v>129</v>
      </c>
      <c r="U6" t="s">
        <v>130</v>
      </c>
      <c r="W6" t="s">
        <v>150</v>
      </c>
      <c r="X6" t="s">
        <v>121</v>
      </c>
      <c r="Y6" t="s">
        <v>151</v>
      </c>
      <c r="Z6" t="s">
        <v>88</v>
      </c>
      <c r="AA6" t="s">
        <v>123</v>
      </c>
      <c r="AB6" t="s">
        <v>124</v>
      </c>
    </row>
    <row r="7" spans="1:28" x14ac:dyDescent="0.35">
      <c r="A7" t="s">
        <v>134</v>
      </c>
      <c r="B7" t="s">
        <v>121</v>
      </c>
      <c r="C7" t="s">
        <v>132</v>
      </c>
      <c r="D7" t="s">
        <v>15</v>
      </c>
      <c r="E7" t="s">
        <v>129</v>
      </c>
      <c r="F7" t="s">
        <v>130</v>
      </c>
      <c r="I7" t="s">
        <v>152</v>
      </c>
      <c r="J7" t="s">
        <v>121</v>
      </c>
      <c r="K7" t="s">
        <v>151</v>
      </c>
      <c r="L7" t="s">
        <v>88</v>
      </c>
      <c r="M7" t="s">
        <v>126</v>
      </c>
      <c r="N7" t="s">
        <v>127</v>
      </c>
      <c r="P7" t="s">
        <v>157</v>
      </c>
      <c r="Q7" t="s">
        <v>121</v>
      </c>
      <c r="R7" t="s">
        <v>155</v>
      </c>
      <c r="S7" t="s">
        <v>62</v>
      </c>
      <c r="T7" t="s">
        <v>129</v>
      </c>
      <c r="U7" t="s">
        <v>130</v>
      </c>
      <c r="W7" t="s">
        <v>154</v>
      </c>
      <c r="X7" t="s">
        <v>121</v>
      </c>
      <c r="Y7" t="s">
        <v>155</v>
      </c>
      <c r="Z7" t="s">
        <v>62</v>
      </c>
      <c r="AA7" t="s">
        <v>123</v>
      </c>
      <c r="AB7" t="s">
        <v>124</v>
      </c>
    </row>
    <row r="8" spans="1:28" x14ac:dyDescent="0.35">
      <c r="A8" t="s">
        <v>135</v>
      </c>
      <c r="B8" t="s">
        <v>121</v>
      </c>
      <c r="C8" t="s">
        <v>136</v>
      </c>
      <c r="D8" t="s">
        <v>137</v>
      </c>
      <c r="E8" t="s">
        <v>123</v>
      </c>
      <c r="F8" t="s">
        <v>124</v>
      </c>
      <c r="I8" t="s">
        <v>156</v>
      </c>
      <c r="J8" t="s">
        <v>121</v>
      </c>
      <c r="K8" t="s">
        <v>155</v>
      </c>
      <c r="L8" t="s">
        <v>62</v>
      </c>
      <c r="M8" t="s">
        <v>126</v>
      </c>
      <c r="N8" t="s">
        <v>127</v>
      </c>
      <c r="P8" t="s">
        <v>161</v>
      </c>
      <c r="Q8" t="s">
        <v>121</v>
      </c>
      <c r="R8" t="s">
        <v>159</v>
      </c>
      <c r="S8" t="s">
        <v>59</v>
      </c>
      <c r="T8" t="s">
        <v>129</v>
      </c>
      <c r="U8" t="s">
        <v>130</v>
      </c>
      <c r="W8" t="s">
        <v>158</v>
      </c>
      <c r="X8" t="s">
        <v>121</v>
      </c>
      <c r="Y8" t="s">
        <v>159</v>
      </c>
      <c r="Z8" t="s">
        <v>59</v>
      </c>
      <c r="AA8" t="s">
        <v>123</v>
      </c>
      <c r="AB8" t="s">
        <v>124</v>
      </c>
    </row>
    <row r="9" spans="1:28" x14ac:dyDescent="0.35">
      <c r="A9" t="s">
        <v>138</v>
      </c>
      <c r="B9" t="s">
        <v>121</v>
      </c>
      <c r="C9" t="s">
        <v>136</v>
      </c>
      <c r="D9" t="s">
        <v>137</v>
      </c>
      <c r="E9" t="s">
        <v>126</v>
      </c>
      <c r="F9" t="s">
        <v>127</v>
      </c>
      <c r="I9" t="s">
        <v>160</v>
      </c>
      <c r="J9" t="s">
        <v>121</v>
      </c>
      <c r="K9" t="s">
        <v>159</v>
      </c>
      <c r="L9" t="s">
        <v>59</v>
      </c>
      <c r="M9" t="s">
        <v>126</v>
      </c>
      <c r="N9" t="s">
        <v>127</v>
      </c>
      <c r="P9" t="s">
        <v>165</v>
      </c>
      <c r="Q9" t="s">
        <v>121</v>
      </c>
      <c r="R9" t="s">
        <v>163</v>
      </c>
      <c r="S9" t="s">
        <v>68</v>
      </c>
      <c r="T9" t="s">
        <v>129</v>
      </c>
      <c r="U9" t="s">
        <v>130</v>
      </c>
      <c r="W9" t="s">
        <v>162</v>
      </c>
      <c r="X9" t="s">
        <v>121</v>
      </c>
      <c r="Y9" t="s">
        <v>163</v>
      </c>
      <c r="Z9" t="s">
        <v>68</v>
      </c>
      <c r="AA9" t="s">
        <v>123</v>
      </c>
      <c r="AB9" t="s">
        <v>124</v>
      </c>
    </row>
    <row r="10" spans="1:28" x14ac:dyDescent="0.35">
      <c r="A10" t="s">
        <v>139</v>
      </c>
      <c r="B10" t="s">
        <v>121</v>
      </c>
      <c r="C10" t="s">
        <v>136</v>
      </c>
      <c r="D10" t="s">
        <v>137</v>
      </c>
      <c r="E10" t="s">
        <v>129</v>
      </c>
      <c r="F10" t="s">
        <v>130</v>
      </c>
      <c r="I10" t="s">
        <v>164</v>
      </c>
      <c r="J10" t="s">
        <v>121</v>
      </c>
      <c r="K10" t="s">
        <v>163</v>
      </c>
      <c r="L10" t="s">
        <v>68</v>
      </c>
      <c r="M10" t="s">
        <v>126</v>
      </c>
      <c r="N10" t="s">
        <v>127</v>
      </c>
      <c r="P10" t="s">
        <v>169</v>
      </c>
      <c r="Q10" t="s">
        <v>121</v>
      </c>
      <c r="R10" t="s">
        <v>167</v>
      </c>
      <c r="S10" t="s">
        <v>18</v>
      </c>
      <c r="T10" t="s">
        <v>129</v>
      </c>
      <c r="U10" t="s">
        <v>130</v>
      </c>
      <c r="W10" t="s">
        <v>166</v>
      </c>
      <c r="X10" t="s">
        <v>121</v>
      </c>
      <c r="Y10" t="s">
        <v>167</v>
      </c>
      <c r="Z10" t="s">
        <v>18</v>
      </c>
      <c r="AA10" t="s">
        <v>123</v>
      </c>
      <c r="AB10" t="s">
        <v>124</v>
      </c>
    </row>
    <row r="11" spans="1:28" x14ac:dyDescent="0.35">
      <c r="A11" t="s">
        <v>140</v>
      </c>
      <c r="B11" t="s">
        <v>121</v>
      </c>
      <c r="C11" t="s">
        <v>141</v>
      </c>
      <c r="D11" t="s">
        <v>142</v>
      </c>
      <c r="E11" t="s">
        <v>123</v>
      </c>
      <c r="F11" t="s">
        <v>124</v>
      </c>
      <c r="I11" t="s">
        <v>168</v>
      </c>
      <c r="J11" t="s">
        <v>121</v>
      </c>
      <c r="K11" t="s">
        <v>167</v>
      </c>
      <c r="L11" t="s">
        <v>18</v>
      </c>
      <c r="M11" t="s">
        <v>126</v>
      </c>
      <c r="N11" t="s">
        <v>127</v>
      </c>
      <c r="P11" t="s">
        <v>174</v>
      </c>
      <c r="Q11" t="s">
        <v>121</v>
      </c>
      <c r="R11" t="s">
        <v>171</v>
      </c>
      <c r="S11" t="s">
        <v>172</v>
      </c>
      <c r="T11" t="s">
        <v>129</v>
      </c>
      <c r="U11" t="s">
        <v>130</v>
      </c>
      <c r="W11" t="s">
        <v>170</v>
      </c>
      <c r="X11" t="s">
        <v>121</v>
      </c>
      <c r="Y11" t="s">
        <v>171</v>
      </c>
      <c r="Z11" t="s">
        <v>172</v>
      </c>
      <c r="AA11" t="s">
        <v>123</v>
      </c>
      <c r="AB11" t="s">
        <v>124</v>
      </c>
    </row>
    <row r="12" spans="1:28" x14ac:dyDescent="0.35">
      <c r="A12" t="s">
        <v>143</v>
      </c>
      <c r="B12" t="s">
        <v>121</v>
      </c>
      <c r="C12" t="s">
        <v>141</v>
      </c>
      <c r="D12" t="s">
        <v>142</v>
      </c>
      <c r="E12" t="s">
        <v>126</v>
      </c>
      <c r="F12" t="s">
        <v>127</v>
      </c>
      <c r="I12" t="s">
        <v>173</v>
      </c>
      <c r="J12" t="s">
        <v>121</v>
      </c>
      <c r="K12" t="s">
        <v>171</v>
      </c>
      <c r="L12" t="s">
        <v>172</v>
      </c>
      <c r="M12" t="s">
        <v>126</v>
      </c>
      <c r="N12" t="s">
        <v>127</v>
      </c>
      <c r="P12" t="s">
        <v>178</v>
      </c>
      <c r="Q12" t="s">
        <v>121</v>
      </c>
      <c r="R12" t="s">
        <v>176</v>
      </c>
      <c r="S12" t="s">
        <v>19</v>
      </c>
      <c r="T12" t="s">
        <v>129</v>
      </c>
      <c r="U12" t="s">
        <v>130</v>
      </c>
      <c r="W12" t="s">
        <v>175</v>
      </c>
      <c r="X12" t="s">
        <v>121</v>
      </c>
      <c r="Y12" t="s">
        <v>176</v>
      </c>
      <c r="Z12" t="s">
        <v>19</v>
      </c>
      <c r="AA12" t="s">
        <v>123</v>
      </c>
      <c r="AB12" t="s">
        <v>124</v>
      </c>
    </row>
    <row r="13" spans="1:28" x14ac:dyDescent="0.35">
      <c r="A13" t="s">
        <v>144</v>
      </c>
      <c r="B13" t="s">
        <v>121</v>
      </c>
      <c r="C13" t="s">
        <v>141</v>
      </c>
      <c r="D13" t="s">
        <v>142</v>
      </c>
      <c r="E13" t="s">
        <v>129</v>
      </c>
      <c r="F13" t="s">
        <v>130</v>
      </c>
      <c r="I13" t="s">
        <v>177</v>
      </c>
      <c r="J13" t="s">
        <v>121</v>
      </c>
      <c r="K13" t="s">
        <v>176</v>
      </c>
      <c r="L13" t="s">
        <v>19</v>
      </c>
      <c r="M13" t="s">
        <v>126</v>
      </c>
      <c r="N13" t="s">
        <v>127</v>
      </c>
      <c r="P13" t="s">
        <v>183</v>
      </c>
      <c r="Q13" t="s">
        <v>121</v>
      </c>
      <c r="R13" t="s">
        <v>180</v>
      </c>
      <c r="S13" t="s">
        <v>181</v>
      </c>
      <c r="T13" t="s">
        <v>129</v>
      </c>
      <c r="U13" t="s">
        <v>130</v>
      </c>
      <c r="W13" t="s">
        <v>179</v>
      </c>
      <c r="X13" t="s">
        <v>121</v>
      </c>
      <c r="Y13" t="s">
        <v>180</v>
      </c>
      <c r="Z13" t="s">
        <v>181</v>
      </c>
      <c r="AA13" t="s">
        <v>123</v>
      </c>
      <c r="AB13" t="s">
        <v>124</v>
      </c>
    </row>
    <row r="14" spans="1:28" x14ac:dyDescent="0.35">
      <c r="A14" t="s">
        <v>145</v>
      </c>
      <c r="B14" t="s">
        <v>121</v>
      </c>
      <c r="C14" t="s">
        <v>146</v>
      </c>
      <c r="D14" t="s">
        <v>147</v>
      </c>
      <c r="E14" t="s">
        <v>123</v>
      </c>
      <c r="F14" t="s">
        <v>124</v>
      </c>
      <c r="I14" t="s">
        <v>182</v>
      </c>
      <c r="J14" t="s">
        <v>121</v>
      </c>
      <c r="K14" t="s">
        <v>180</v>
      </c>
      <c r="L14" t="s">
        <v>181</v>
      </c>
      <c r="M14" t="s">
        <v>126</v>
      </c>
      <c r="N14" t="s">
        <v>127</v>
      </c>
      <c r="P14" t="s">
        <v>187</v>
      </c>
      <c r="Q14" t="s">
        <v>121</v>
      </c>
      <c r="R14" t="s">
        <v>185</v>
      </c>
      <c r="S14" t="s">
        <v>20</v>
      </c>
      <c r="T14" t="s">
        <v>129</v>
      </c>
      <c r="U14" t="s">
        <v>130</v>
      </c>
      <c r="W14" t="s">
        <v>184</v>
      </c>
      <c r="X14" t="s">
        <v>121</v>
      </c>
      <c r="Y14" t="s">
        <v>185</v>
      </c>
      <c r="Z14" t="s">
        <v>20</v>
      </c>
      <c r="AA14" t="s">
        <v>123</v>
      </c>
      <c r="AB14" t="s">
        <v>124</v>
      </c>
    </row>
    <row r="15" spans="1:28" x14ac:dyDescent="0.35">
      <c r="A15" t="s">
        <v>148</v>
      </c>
      <c r="B15" t="s">
        <v>121</v>
      </c>
      <c r="C15" t="s">
        <v>146</v>
      </c>
      <c r="D15" t="s">
        <v>147</v>
      </c>
      <c r="E15" t="s">
        <v>126</v>
      </c>
      <c r="F15" t="s">
        <v>127</v>
      </c>
      <c r="I15" t="s">
        <v>186</v>
      </c>
      <c r="J15" t="s">
        <v>121</v>
      </c>
      <c r="K15" t="s">
        <v>185</v>
      </c>
      <c r="L15" t="s">
        <v>20</v>
      </c>
      <c r="M15" t="s">
        <v>126</v>
      </c>
      <c r="N15" t="s">
        <v>127</v>
      </c>
      <c r="P15" t="s">
        <v>192</v>
      </c>
      <c r="Q15" t="s">
        <v>121</v>
      </c>
      <c r="R15" t="s">
        <v>189</v>
      </c>
      <c r="S15" t="s">
        <v>190</v>
      </c>
      <c r="T15" t="s">
        <v>129</v>
      </c>
      <c r="U15" t="s">
        <v>130</v>
      </c>
      <c r="W15" t="s">
        <v>188</v>
      </c>
      <c r="X15" t="s">
        <v>121</v>
      </c>
      <c r="Y15" t="s">
        <v>189</v>
      </c>
      <c r="Z15" t="s">
        <v>190</v>
      </c>
      <c r="AA15" t="s">
        <v>123</v>
      </c>
      <c r="AB15" t="s">
        <v>124</v>
      </c>
    </row>
    <row r="16" spans="1:28" x14ac:dyDescent="0.35">
      <c r="A16" t="s">
        <v>149</v>
      </c>
      <c r="B16" t="s">
        <v>121</v>
      </c>
      <c r="C16" t="s">
        <v>146</v>
      </c>
      <c r="D16" t="s">
        <v>147</v>
      </c>
      <c r="E16" t="s">
        <v>129</v>
      </c>
      <c r="F16" t="s">
        <v>130</v>
      </c>
      <c r="I16" t="s">
        <v>191</v>
      </c>
      <c r="J16" t="s">
        <v>121</v>
      </c>
      <c r="K16" t="s">
        <v>189</v>
      </c>
      <c r="L16" t="s">
        <v>190</v>
      </c>
      <c r="M16" t="s">
        <v>126</v>
      </c>
      <c r="N16" t="s">
        <v>127</v>
      </c>
      <c r="P16" t="s">
        <v>197</v>
      </c>
      <c r="Q16" t="s">
        <v>121</v>
      </c>
      <c r="R16" t="s">
        <v>194</v>
      </c>
      <c r="S16" t="s">
        <v>195</v>
      </c>
      <c r="T16" t="s">
        <v>129</v>
      </c>
      <c r="U16" t="s">
        <v>130</v>
      </c>
      <c r="W16" t="s">
        <v>193</v>
      </c>
      <c r="X16" t="s">
        <v>121</v>
      </c>
      <c r="Y16" t="s">
        <v>194</v>
      </c>
      <c r="Z16" t="s">
        <v>195</v>
      </c>
      <c r="AA16" t="s">
        <v>123</v>
      </c>
      <c r="AB16" t="s">
        <v>124</v>
      </c>
    </row>
    <row r="17" spans="1:28" x14ac:dyDescent="0.35">
      <c r="A17" t="s">
        <v>150</v>
      </c>
      <c r="B17" t="s">
        <v>121</v>
      </c>
      <c r="C17" t="s">
        <v>151</v>
      </c>
      <c r="D17" t="s">
        <v>88</v>
      </c>
      <c r="E17" t="s">
        <v>123</v>
      </c>
      <c r="F17" t="s">
        <v>124</v>
      </c>
      <c r="I17" t="s">
        <v>196</v>
      </c>
      <c r="J17" t="s">
        <v>121</v>
      </c>
      <c r="K17" t="s">
        <v>194</v>
      </c>
      <c r="L17" t="s">
        <v>195</v>
      </c>
      <c r="M17" t="s">
        <v>126</v>
      </c>
      <c r="N17" t="s">
        <v>127</v>
      </c>
      <c r="P17" t="s">
        <v>202</v>
      </c>
      <c r="Q17" t="s">
        <v>121</v>
      </c>
      <c r="R17" t="s">
        <v>199</v>
      </c>
      <c r="S17" t="s">
        <v>200</v>
      </c>
      <c r="T17" t="s">
        <v>129</v>
      </c>
      <c r="U17" t="s">
        <v>130</v>
      </c>
      <c r="W17" t="s">
        <v>198</v>
      </c>
      <c r="X17" t="s">
        <v>121</v>
      </c>
      <c r="Y17" t="s">
        <v>199</v>
      </c>
      <c r="Z17" t="s">
        <v>200</v>
      </c>
      <c r="AA17" t="s">
        <v>123</v>
      </c>
      <c r="AB17" t="s">
        <v>124</v>
      </c>
    </row>
    <row r="18" spans="1:28" x14ac:dyDescent="0.35">
      <c r="A18" t="s">
        <v>152</v>
      </c>
      <c r="B18" t="s">
        <v>121</v>
      </c>
      <c r="C18" t="s">
        <v>151</v>
      </c>
      <c r="D18" t="s">
        <v>88</v>
      </c>
      <c r="E18" t="s">
        <v>126</v>
      </c>
      <c r="F18" t="s">
        <v>127</v>
      </c>
      <c r="I18" t="s">
        <v>201</v>
      </c>
      <c r="J18" t="s">
        <v>121</v>
      </c>
      <c r="K18" t="s">
        <v>199</v>
      </c>
      <c r="L18" t="s">
        <v>200</v>
      </c>
      <c r="M18" t="s">
        <v>126</v>
      </c>
      <c r="N18" t="s">
        <v>127</v>
      </c>
      <c r="P18" t="s">
        <v>206</v>
      </c>
      <c r="Q18" t="s">
        <v>121</v>
      </c>
      <c r="R18" t="s">
        <v>204</v>
      </c>
      <c r="S18" t="s">
        <v>80</v>
      </c>
      <c r="T18" t="s">
        <v>129</v>
      </c>
      <c r="U18" t="s">
        <v>130</v>
      </c>
      <c r="W18" t="s">
        <v>203</v>
      </c>
      <c r="X18" t="s">
        <v>121</v>
      </c>
      <c r="Y18" t="s">
        <v>204</v>
      </c>
      <c r="Z18" t="s">
        <v>80</v>
      </c>
      <c r="AA18" t="s">
        <v>123</v>
      </c>
      <c r="AB18" t="s">
        <v>124</v>
      </c>
    </row>
    <row r="19" spans="1:28" x14ac:dyDescent="0.35">
      <c r="A19" t="s">
        <v>153</v>
      </c>
      <c r="B19" t="s">
        <v>121</v>
      </c>
      <c r="C19" t="s">
        <v>151</v>
      </c>
      <c r="D19" t="s">
        <v>88</v>
      </c>
      <c r="E19" t="s">
        <v>129</v>
      </c>
      <c r="F19" t="s">
        <v>130</v>
      </c>
      <c r="I19" t="s">
        <v>205</v>
      </c>
      <c r="J19" t="s">
        <v>121</v>
      </c>
      <c r="K19" t="s">
        <v>204</v>
      </c>
      <c r="L19" t="s">
        <v>80</v>
      </c>
      <c r="M19" t="s">
        <v>126</v>
      </c>
      <c r="N19" t="s">
        <v>127</v>
      </c>
      <c r="P19" t="s">
        <v>210</v>
      </c>
      <c r="Q19" t="s">
        <v>121</v>
      </c>
      <c r="R19" t="s">
        <v>208</v>
      </c>
      <c r="S19" t="s">
        <v>21</v>
      </c>
      <c r="T19" t="s">
        <v>129</v>
      </c>
      <c r="U19" t="s">
        <v>130</v>
      </c>
      <c r="W19" t="s">
        <v>207</v>
      </c>
      <c r="X19" t="s">
        <v>121</v>
      </c>
      <c r="Y19" t="s">
        <v>208</v>
      </c>
      <c r="Z19" t="s">
        <v>21</v>
      </c>
      <c r="AA19" t="s">
        <v>123</v>
      </c>
      <c r="AB19" t="s">
        <v>124</v>
      </c>
    </row>
    <row r="20" spans="1:28" x14ac:dyDescent="0.35">
      <c r="A20" t="s">
        <v>154</v>
      </c>
      <c r="B20" t="s">
        <v>121</v>
      </c>
      <c r="C20" t="s">
        <v>155</v>
      </c>
      <c r="D20" t="s">
        <v>62</v>
      </c>
      <c r="E20" t="s">
        <v>123</v>
      </c>
      <c r="F20" t="s">
        <v>124</v>
      </c>
      <c r="I20" t="s">
        <v>209</v>
      </c>
      <c r="J20" t="s">
        <v>121</v>
      </c>
      <c r="K20" t="s">
        <v>208</v>
      </c>
      <c r="L20" t="s">
        <v>21</v>
      </c>
      <c r="M20" t="s">
        <v>126</v>
      </c>
      <c r="N20" t="s">
        <v>127</v>
      </c>
      <c r="P20" t="s">
        <v>215</v>
      </c>
      <c r="Q20" t="s">
        <v>121</v>
      </c>
      <c r="R20" t="s">
        <v>212</v>
      </c>
      <c r="S20" t="s">
        <v>213</v>
      </c>
      <c r="T20" t="s">
        <v>129</v>
      </c>
      <c r="U20" t="s">
        <v>130</v>
      </c>
      <c r="W20" t="s">
        <v>211</v>
      </c>
      <c r="X20" t="s">
        <v>121</v>
      </c>
      <c r="Y20" t="s">
        <v>212</v>
      </c>
      <c r="Z20" t="s">
        <v>213</v>
      </c>
      <c r="AA20" t="s">
        <v>123</v>
      </c>
      <c r="AB20" t="s">
        <v>124</v>
      </c>
    </row>
    <row r="21" spans="1:28" x14ac:dyDescent="0.35">
      <c r="A21" t="s">
        <v>156</v>
      </c>
      <c r="B21" t="s">
        <v>121</v>
      </c>
      <c r="C21" t="s">
        <v>155</v>
      </c>
      <c r="D21" t="s">
        <v>62</v>
      </c>
      <c r="E21" t="s">
        <v>126</v>
      </c>
      <c r="F21" t="s">
        <v>127</v>
      </c>
      <c r="I21" t="s">
        <v>214</v>
      </c>
      <c r="J21" t="s">
        <v>121</v>
      </c>
      <c r="K21" t="s">
        <v>212</v>
      </c>
      <c r="L21" t="s">
        <v>213</v>
      </c>
      <c r="M21" t="s">
        <v>126</v>
      </c>
      <c r="N21" t="s">
        <v>127</v>
      </c>
      <c r="P21" t="s">
        <v>220</v>
      </c>
      <c r="Q21" t="s">
        <v>121</v>
      </c>
      <c r="R21" t="s">
        <v>217</v>
      </c>
      <c r="S21" t="s">
        <v>218</v>
      </c>
      <c r="T21" t="s">
        <v>129</v>
      </c>
      <c r="U21" t="s">
        <v>130</v>
      </c>
      <c r="W21" t="s">
        <v>216</v>
      </c>
      <c r="X21" t="s">
        <v>121</v>
      </c>
      <c r="Y21" t="s">
        <v>217</v>
      </c>
      <c r="Z21" t="s">
        <v>218</v>
      </c>
      <c r="AA21" t="s">
        <v>123</v>
      </c>
      <c r="AB21" t="s">
        <v>124</v>
      </c>
    </row>
    <row r="22" spans="1:28" x14ac:dyDescent="0.35">
      <c r="A22" t="s">
        <v>157</v>
      </c>
      <c r="B22" t="s">
        <v>121</v>
      </c>
      <c r="C22" t="s">
        <v>155</v>
      </c>
      <c r="D22" t="s">
        <v>62</v>
      </c>
      <c r="E22" t="s">
        <v>129</v>
      </c>
      <c r="F22" t="s">
        <v>130</v>
      </c>
      <c r="I22" t="s">
        <v>219</v>
      </c>
      <c r="J22" t="s">
        <v>121</v>
      </c>
      <c r="K22" t="s">
        <v>217</v>
      </c>
      <c r="L22" t="s">
        <v>218</v>
      </c>
      <c r="M22" t="s">
        <v>126</v>
      </c>
      <c r="N22" t="s">
        <v>127</v>
      </c>
      <c r="P22" t="s">
        <v>224</v>
      </c>
      <c r="Q22" t="s">
        <v>121</v>
      </c>
      <c r="R22" t="s">
        <v>222</v>
      </c>
      <c r="S22" t="s">
        <v>58</v>
      </c>
      <c r="T22" t="s">
        <v>129</v>
      </c>
      <c r="U22" t="s">
        <v>130</v>
      </c>
      <c r="W22" t="s">
        <v>221</v>
      </c>
      <c r="X22" t="s">
        <v>121</v>
      </c>
      <c r="Y22" t="s">
        <v>222</v>
      </c>
      <c r="Z22" t="s">
        <v>58</v>
      </c>
      <c r="AA22" t="s">
        <v>123</v>
      </c>
      <c r="AB22" t="s">
        <v>124</v>
      </c>
    </row>
    <row r="23" spans="1:28" x14ac:dyDescent="0.35">
      <c r="A23" t="s">
        <v>158</v>
      </c>
      <c r="B23" t="s">
        <v>121</v>
      </c>
      <c r="C23" t="s">
        <v>159</v>
      </c>
      <c r="D23" t="s">
        <v>59</v>
      </c>
      <c r="E23" t="s">
        <v>123</v>
      </c>
      <c r="F23" t="s">
        <v>124</v>
      </c>
      <c r="I23" t="s">
        <v>223</v>
      </c>
      <c r="J23" t="s">
        <v>121</v>
      </c>
      <c r="K23" t="s">
        <v>222</v>
      </c>
      <c r="L23" t="s">
        <v>58</v>
      </c>
      <c r="M23" t="s">
        <v>126</v>
      </c>
      <c r="N23" t="s">
        <v>127</v>
      </c>
      <c r="P23" t="s">
        <v>229</v>
      </c>
      <c r="Q23" t="s">
        <v>121</v>
      </c>
      <c r="R23" t="s">
        <v>226</v>
      </c>
      <c r="S23" t="s">
        <v>227</v>
      </c>
      <c r="T23" t="s">
        <v>129</v>
      </c>
      <c r="U23" t="s">
        <v>130</v>
      </c>
      <c r="W23" t="s">
        <v>225</v>
      </c>
      <c r="X23" t="s">
        <v>121</v>
      </c>
      <c r="Y23" t="s">
        <v>226</v>
      </c>
      <c r="Z23" t="s">
        <v>227</v>
      </c>
      <c r="AA23" t="s">
        <v>123</v>
      </c>
      <c r="AB23" t="s">
        <v>124</v>
      </c>
    </row>
    <row r="24" spans="1:28" x14ac:dyDescent="0.35">
      <c r="A24" t="s">
        <v>160</v>
      </c>
      <c r="B24" t="s">
        <v>121</v>
      </c>
      <c r="C24" t="s">
        <v>159</v>
      </c>
      <c r="D24" t="s">
        <v>59</v>
      </c>
      <c r="E24" t="s">
        <v>126</v>
      </c>
      <c r="F24" t="s">
        <v>127</v>
      </c>
      <c r="I24" t="s">
        <v>228</v>
      </c>
      <c r="J24" t="s">
        <v>121</v>
      </c>
      <c r="K24" t="s">
        <v>226</v>
      </c>
      <c r="L24" t="s">
        <v>227</v>
      </c>
      <c r="M24" t="s">
        <v>126</v>
      </c>
      <c r="N24" t="s">
        <v>127</v>
      </c>
      <c r="P24" t="s">
        <v>234</v>
      </c>
      <c r="Q24" t="s">
        <v>121</v>
      </c>
      <c r="R24" t="s">
        <v>231</v>
      </c>
      <c r="S24" t="s">
        <v>232</v>
      </c>
      <c r="T24" t="s">
        <v>129</v>
      </c>
      <c r="U24" t="s">
        <v>130</v>
      </c>
      <c r="W24" t="s">
        <v>230</v>
      </c>
      <c r="X24" t="s">
        <v>121</v>
      </c>
      <c r="Y24" t="s">
        <v>231</v>
      </c>
      <c r="Z24" t="s">
        <v>232</v>
      </c>
      <c r="AA24" t="s">
        <v>123</v>
      </c>
      <c r="AB24" t="s">
        <v>124</v>
      </c>
    </row>
    <row r="25" spans="1:28" x14ac:dyDescent="0.35">
      <c r="A25" t="s">
        <v>161</v>
      </c>
      <c r="B25" t="s">
        <v>121</v>
      </c>
      <c r="C25" t="s">
        <v>159</v>
      </c>
      <c r="D25" t="s">
        <v>59</v>
      </c>
      <c r="E25" t="s">
        <v>129</v>
      </c>
      <c r="F25" t="s">
        <v>130</v>
      </c>
      <c r="I25" t="s">
        <v>233</v>
      </c>
      <c r="J25" t="s">
        <v>121</v>
      </c>
      <c r="K25" t="s">
        <v>231</v>
      </c>
      <c r="L25" t="s">
        <v>232</v>
      </c>
      <c r="M25" t="s">
        <v>126</v>
      </c>
      <c r="N25" t="s">
        <v>127</v>
      </c>
      <c r="P25" t="s">
        <v>239</v>
      </c>
      <c r="Q25" t="s">
        <v>121</v>
      </c>
      <c r="R25" t="s">
        <v>236</v>
      </c>
      <c r="S25" t="s">
        <v>237</v>
      </c>
      <c r="T25" t="s">
        <v>129</v>
      </c>
      <c r="U25" t="s">
        <v>130</v>
      </c>
      <c r="W25" t="s">
        <v>235</v>
      </c>
      <c r="X25" t="s">
        <v>121</v>
      </c>
      <c r="Y25" t="s">
        <v>236</v>
      </c>
      <c r="Z25" t="s">
        <v>237</v>
      </c>
      <c r="AA25" t="s">
        <v>123</v>
      </c>
      <c r="AB25" t="s">
        <v>124</v>
      </c>
    </row>
    <row r="26" spans="1:28" x14ac:dyDescent="0.35">
      <c r="A26" t="s">
        <v>162</v>
      </c>
      <c r="B26" t="s">
        <v>121</v>
      </c>
      <c r="C26" t="s">
        <v>163</v>
      </c>
      <c r="D26" t="s">
        <v>68</v>
      </c>
      <c r="E26" t="s">
        <v>123</v>
      </c>
      <c r="F26" t="s">
        <v>124</v>
      </c>
      <c r="I26" t="s">
        <v>238</v>
      </c>
      <c r="J26" t="s">
        <v>121</v>
      </c>
      <c r="K26" t="s">
        <v>236</v>
      </c>
      <c r="L26" t="s">
        <v>237</v>
      </c>
      <c r="M26" t="s">
        <v>126</v>
      </c>
      <c r="N26" t="s">
        <v>127</v>
      </c>
      <c r="P26" t="s">
        <v>243</v>
      </c>
      <c r="Q26" t="s">
        <v>121</v>
      </c>
      <c r="R26" t="s">
        <v>241</v>
      </c>
      <c r="S26" t="s">
        <v>22</v>
      </c>
      <c r="T26" t="s">
        <v>129</v>
      </c>
      <c r="U26" t="s">
        <v>130</v>
      </c>
      <c r="W26" t="s">
        <v>240</v>
      </c>
      <c r="X26" t="s">
        <v>121</v>
      </c>
      <c r="Y26" t="s">
        <v>241</v>
      </c>
      <c r="Z26" t="s">
        <v>22</v>
      </c>
      <c r="AA26" t="s">
        <v>123</v>
      </c>
      <c r="AB26" t="s">
        <v>124</v>
      </c>
    </row>
    <row r="27" spans="1:28" x14ac:dyDescent="0.35">
      <c r="A27" t="s">
        <v>164</v>
      </c>
      <c r="B27" t="s">
        <v>121</v>
      </c>
      <c r="C27" t="s">
        <v>163</v>
      </c>
      <c r="D27" t="s">
        <v>68</v>
      </c>
      <c r="E27" t="s">
        <v>126</v>
      </c>
      <c r="F27" t="s">
        <v>127</v>
      </c>
      <c r="I27" t="s">
        <v>242</v>
      </c>
      <c r="J27" t="s">
        <v>121</v>
      </c>
      <c r="K27" t="s">
        <v>241</v>
      </c>
      <c r="L27" t="s">
        <v>22</v>
      </c>
      <c r="M27" t="s">
        <v>126</v>
      </c>
      <c r="N27" t="s">
        <v>127</v>
      </c>
      <c r="P27" t="s">
        <v>247</v>
      </c>
      <c r="Q27" t="s">
        <v>121</v>
      </c>
      <c r="R27" t="s">
        <v>245</v>
      </c>
      <c r="S27" t="s">
        <v>23</v>
      </c>
      <c r="T27" t="s">
        <v>129</v>
      </c>
      <c r="U27" t="s">
        <v>130</v>
      </c>
      <c r="W27" t="s">
        <v>244</v>
      </c>
      <c r="X27" t="s">
        <v>121</v>
      </c>
      <c r="Y27" t="s">
        <v>245</v>
      </c>
      <c r="Z27" t="s">
        <v>23</v>
      </c>
      <c r="AA27" t="s">
        <v>123</v>
      </c>
      <c r="AB27" t="s">
        <v>124</v>
      </c>
    </row>
    <row r="28" spans="1:28" x14ac:dyDescent="0.35">
      <c r="A28" t="s">
        <v>165</v>
      </c>
      <c r="B28" t="s">
        <v>121</v>
      </c>
      <c r="C28" t="s">
        <v>163</v>
      </c>
      <c r="D28" t="s">
        <v>68</v>
      </c>
      <c r="E28" t="s">
        <v>129</v>
      </c>
      <c r="F28" t="s">
        <v>130</v>
      </c>
      <c r="I28" t="s">
        <v>246</v>
      </c>
      <c r="J28" t="s">
        <v>121</v>
      </c>
      <c r="K28" t="s">
        <v>245</v>
      </c>
      <c r="L28" t="s">
        <v>23</v>
      </c>
      <c r="M28" t="s">
        <v>126</v>
      </c>
      <c r="N28" t="s">
        <v>127</v>
      </c>
      <c r="P28" t="s">
        <v>252</v>
      </c>
      <c r="Q28" t="s">
        <v>121</v>
      </c>
      <c r="R28" t="s">
        <v>249</v>
      </c>
      <c r="S28" t="s">
        <v>250</v>
      </c>
      <c r="T28" t="s">
        <v>129</v>
      </c>
      <c r="U28" t="s">
        <v>130</v>
      </c>
      <c r="W28" t="s">
        <v>248</v>
      </c>
      <c r="X28" t="s">
        <v>121</v>
      </c>
      <c r="Y28" t="s">
        <v>249</v>
      </c>
      <c r="Z28" t="s">
        <v>250</v>
      </c>
      <c r="AA28" t="s">
        <v>123</v>
      </c>
      <c r="AB28" t="s">
        <v>124</v>
      </c>
    </row>
    <row r="29" spans="1:28" x14ac:dyDescent="0.35">
      <c r="A29" t="s">
        <v>166</v>
      </c>
      <c r="B29" t="s">
        <v>121</v>
      </c>
      <c r="C29" t="s">
        <v>167</v>
      </c>
      <c r="D29" t="s">
        <v>18</v>
      </c>
      <c r="E29" t="s">
        <v>123</v>
      </c>
      <c r="F29" t="s">
        <v>124</v>
      </c>
      <c r="I29" t="s">
        <v>251</v>
      </c>
      <c r="J29" t="s">
        <v>121</v>
      </c>
      <c r="K29" t="s">
        <v>249</v>
      </c>
      <c r="L29" t="s">
        <v>250</v>
      </c>
      <c r="M29" t="s">
        <v>126</v>
      </c>
      <c r="N29" t="s">
        <v>127</v>
      </c>
      <c r="P29" t="s">
        <v>257</v>
      </c>
      <c r="Q29" t="s">
        <v>121</v>
      </c>
      <c r="R29" t="s">
        <v>254</v>
      </c>
      <c r="S29" t="s">
        <v>255</v>
      </c>
      <c r="T29" t="s">
        <v>129</v>
      </c>
      <c r="U29" t="s">
        <v>130</v>
      </c>
      <c r="W29" t="s">
        <v>253</v>
      </c>
      <c r="X29" t="s">
        <v>121</v>
      </c>
      <c r="Y29" t="s">
        <v>254</v>
      </c>
      <c r="Z29" t="s">
        <v>255</v>
      </c>
      <c r="AA29" t="s">
        <v>123</v>
      </c>
      <c r="AB29" t="s">
        <v>124</v>
      </c>
    </row>
    <row r="30" spans="1:28" x14ac:dyDescent="0.35">
      <c r="A30" t="s">
        <v>168</v>
      </c>
      <c r="B30" t="s">
        <v>121</v>
      </c>
      <c r="C30" t="s">
        <v>167</v>
      </c>
      <c r="D30" t="s">
        <v>18</v>
      </c>
      <c r="E30" t="s">
        <v>126</v>
      </c>
      <c r="F30" t="s">
        <v>127</v>
      </c>
      <c r="I30" t="s">
        <v>256</v>
      </c>
      <c r="J30" t="s">
        <v>121</v>
      </c>
      <c r="K30" t="s">
        <v>254</v>
      </c>
      <c r="L30" t="s">
        <v>255</v>
      </c>
      <c r="M30" t="s">
        <v>126</v>
      </c>
      <c r="N30" t="s">
        <v>127</v>
      </c>
      <c r="P30" t="s">
        <v>261</v>
      </c>
      <c r="Q30" t="s">
        <v>121</v>
      </c>
      <c r="R30" t="s">
        <v>259</v>
      </c>
      <c r="S30" t="s">
        <v>24</v>
      </c>
      <c r="T30" t="s">
        <v>129</v>
      </c>
      <c r="U30" t="s">
        <v>130</v>
      </c>
      <c r="W30" t="s">
        <v>258</v>
      </c>
      <c r="X30" t="s">
        <v>121</v>
      </c>
      <c r="Y30" t="s">
        <v>259</v>
      </c>
      <c r="Z30" t="s">
        <v>24</v>
      </c>
      <c r="AA30" t="s">
        <v>123</v>
      </c>
      <c r="AB30" t="s">
        <v>124</v>
      </c>
    </row>
    <row r="31" spans="1:28" x14ac:dyDescent="0.35">
      <c r="A31" t="s">
        <v>169</v>
      </c>
      <c r="B31" t="s">
        <v>121</v>
      </c>
      <c r="C31" t="s">
        <v>167</v>
      </c>
      <c r="D31" t="s">
        <v>18</v>
      </c>
      <c r="E31" t="s">
        <v>129</v>
      </c>
      <c r="F31" t="s">
        <v>130</v>
      </c>
      <c r="I31" t="s">
        <v>260</v>
      </c>
      <c r="J31" t="s">
        <v>121</v>
      </c>
      <c r="K31" t="s">
        <v>259</v>
      </c>
      <c r="L31" t="s">
        <v>24</v>
      </c>
      <c r="M31" t="s">
        <v>126</v>
      </c>
      <c r="N31" t="s">
        <v>127</v>
      </c>
      <c r="P31" t="s">
        <v>266</v>
      </c>
      <c r="Q31" t="s">
        <v>121</v>
      </c>
      <c r="R31" t="s">
        <v>263</v>
      </c>
      <c r="S31" t="s">
        <v>264</v>
      </c>
      <c r="T31" t="s">
        <v>129</v>
      </c>
      <c r="U31" t="s">
        <v>130</v>
      </c>
      <c r="W31" t="s">
        <v>262</v>
      </c>
      <c r="X31" t="s">
        <v>121</v>
      </c>
      <c r="Y31" t="s">
        <v>263</v>
      </c>
      <c r="Z31" t="s">
        <v>264</v>
      </c>
      <c r="AA31" t="s">
        <v>123</v>
      </c>
      <c r="AB31" t="s">
        <v>124</v>
      </c>
    </row>
    <row r="32" spans="1:28" x14ac:dyDescent="0.35">
      <c r="A32" t="s">
        <v>170</v>
      </c>
      <c r="B32" t="s">
        <v>121</v>
      </c>
      <c r="C32" t="s">
        <v>171</v>
      </c>
      <c r="D32" t="s">
        <v>172</v>
      </c>
      <c r="E32" t="s">
        <v>123</v>
      </c>
      <c r="F32" t="s">
        <v>124</v>
      </c>
      <c r="I32" t="s">
        <v>265</v>
      </c>
      <c r="J32" t="s">
        <v>121</v>
      </c>
      <c r="K32" t="s">
        <v>263</v>
      </c>
      <c r="L32" t="s">
        <v>264</v>
      </c>
      <c r="M32" t="s">
        <v>126</v>
      </c>
      <c r="N32" t="s">
        <v>127</v>
      </c>
      <c r="P32" t="s">
        <v>271</v>
      </c>
      <c r="Q32" t="s">
        <v>121</v>
      </c>
      <c r="R32" t="s">
        <v>268</v>
      </c>
      <c r="S32" t="s">
        <v>269</v>
      </c>
      <c r="T32" t="s">
        <v>129</v>
      </c>
      <c r="U32" t="s">
        <v>130</v>
      </c>
      <c r="W32" t="s">
        <v>267</v>
      </c>
      <c r="X32" t="s">
        <v>121</v>
      </c>
      <c r="Y32" t="s">
        <v>268</v>
      </c>
      <c r="Z32" t="s">
        <v>269</v>
      </c>
      <c r="AA32" t="s">
        <v>123</v>
      </c>
      <c r="AB32" t="s">
        <v>124</v>
      </c>
    </row>
    <row r="33" spans="1:28" x14ac:dyDescent="0.35">
      <c r="A33" t="s">
        <v>173</v>
      </c>
      <c r="B33" t="s">
        <v>121</v>
      </c>
      <c r="C33" t="s">
        <v>171</v>
      </c>
      <c r="D33" t="s">
        <v>172</v>
      </c>
      <c r="E33" t="s">
        <v>126</v>
      </c>
      <c r="F33" t="s">
        <v>127</v>
      </c>
      <c r="I33" t="s">
        <v>270</v>
      </c>
      <c r="J33" t="s">
        <v>121</v>
      </c>
      <c r="K33" t="s">
        <v>268</v>
      </c>
      <c r="L33" t="s">
        <v>269</v>
      </c>
      <c r="M33" t="s">
        <v>126</v>
      </c>
      <c r="N33" t="s">
        <v>127</v>
      </c>
      <c r="P33" t="s">
        <v>275</v>
      </c>
      <c r="Q33" t="s">
        <v>121</v>
      </c>
      <c r="R33" t="s">
        <v>273</v>
      </c>
      <c r="S33" t="s">
        <v>25</v>
      </c>
      <c r="T33" t="s">
        <v>129</v>
      </c>
      <c r="U33" t="s">
        <v>130</v>
      </c>
      <c r="W33" t="s">
        <v>272</v>
      </c>
      <c r="X33" t="s">
        <v>121</v>
      </c>
      <c r="Y33" t="s">
        <v>273</v>
      </c>
      <c r="Z33" t="s">
        <v>25</v>
      </c>
      <c r="AA33" t="s">
        <v>123</v>
      </c>
      <c r="AB33" t="s">
        <v>124</v>
      </c>
    </row>
    <row r="34" spans="1:28" x14ac:dyDescent="0.35">
      <c r="A34" t="s">
        <v>174</v>
      </c>
      <c r="B34" t="s">
        <v>121</v>
      </c>
      <c r="C34" t="s">
        <v>171</v>
      </c>
      <c r="D34" t="s">
        <v>172</v>
      </c>
      <c r="E34" t="s">
        <v>129</v>
      </c>
      <c r="F34" t="s">
        <v>130</v>
      </c>
      <c r="I34" t="s">
        <v>274</v>
      </c>
      <c r="J34" t="s">
        <v>121</v>
      </c>
      <c r="K34" t="s">
        <v>273</v>
      </c>
      <c r="L34" t="s">
        <v>25</v>
      </c>
      <c r="M34" t="s">
        <v>126</v>
      </c>
      <c r="N34" t="s">
        <v>127</v>
      </c>
      <c r="P34" t="s">
        <v>279</v>
      </c>
      <c r="Q34" t="s">
        <v>121</v>
      </c>
      <c r="R34" t="s">
        <v>277</v>
      </c>
      <c r="S34" t="s">
        <v>26</v>
      </c>
      <c r="T34" t="s">
        <v>129</v>
      </c>
      <c r="U34" t="s">
        <v>130</v>
      </c>
      <c r="W34" t="s">
        <v>276</v>
      </c>
      <c r="X34" t="s">
        <v>121</v>
      </c>
      <c r="Y34" t="s">
        <v>277</v>
      </c>
      <c r="Z34" t="s">
        <v>26</v>
      </c>
      <c r="AA34" t="s">
        <v>123</v>
      </c>
      <c r="AB34" t="s">
        <v>124</v>
      </c>
    </row>
    <row r="35" spans="1:28" x14ac:dyDescent="0.35">
      <c r="A35" t="s">
        <v>175</v>
      </c>
      <c r="B35" t="s">
        <v>121</v>
      </c>
      <c r="C35" t="s">
        <v>176</v>
      </c>
      <c r="D35" t="s">
        <v>19</v>
      </c>
      <c r="E35" t="s">
        <v>123</v>
      </c>
      <c r="F35" t="s">
        <v>124</v>
      </c>
      <c r="I35" t="s">
        <v>278</v>
      </c>
      <c r="J35" t="s">
        <v>121</v>
      </c>
      <c r="K35" t="s">
        <v>277</v>
      </c>
      <c r="L35" t="s">
        <v>26</v>
      </c>
      <c r="M35" t="s">
        <v>126</v>
      </c>
      <c r="N35" t="s">
        <v>127</v>
      </c>
      <c r="P35" t="s">
        <v>283</v>
      </c>
      <c r="Q35" t="s">
        <v>121</v>
      </c>
      <c r="R35" t="s">
        <v>281</v>
      </c>
      <c r="S35" t="s">
        <v>100</v>
      </c>
      <c r="T35" t="s">
        <v>129</v>
      </c>
      <c r="U35" t="s">
        <v>130</v>
      </c>
      <c r="W35" t="s">
        <v>280</v>
      </c>
      <c r="X35" t="s">
        <v>121</v>
      </c>
      <c r="Y35" t="s">
        <v>281</v>
      </c>
      <c r="Z35" t="s">
        <v>100</v>
      </c>
      <c r="AA35" t="s">
        <v>123</v>
      </c>
      <c r="AB35" t="s">
        <v>124</v>
      </c>
    </row>
    <row r="36" spans="1:28" x14ac:dyDescent="0.35">
      <c r="A36" t="s">
        <v>177</v>
      </c>
      <c r="B36" t="s">
        <v>121</v>
      </c>
      <c r="C36" t="s">
        <v>176</v>
      </c>
      <c r="D36" t="s">
        <v>19</v>
      </c>
      <c r="E36" t="s">
        <v>126</v>
      </c>
      <c r="F36" t="s">
        <v>127</v>
      </c>
      <c r="I36" t="s">
        <v>282</v>
      </c>
      <c r="J36" t="s">
        <v>121</v>
      </c>
      <c r="K36" t="s">
        <v>281</v>
      </c>
      <c r="L36" t="s">
        <v>100</v>
      </c>
      <c r="M36" t="s">
        <v>126</v>
      </c>
      <c r="N36" t="s">
        <v>127</v>
      </c>
      <c r="P36" t="s">
        <v>287</v>
      </c>
      <c r="Q36" t="s">
        <v>121</v>
      </c>
      <c r="R36" t="s">
        <v>285</v>
      </c>
      <c r="S36" t="s">
        <v>28</v>
      </c>
      <c r="T36" t="s">
        <v>129</v>
      </c>
      <c r="U36" t="s">
        <v>130</v>
      </c>
      <c r="W36" t="s">
        <v>284</v>
      </c>
      <c r="X36" t="s">
        <v>121</v>
      </c>
      <c r="Y36" t="s">
        <v>285</v>
      </c>
      <c r="Z36" t="s">
        <v>28</v>
      </c>
      <c r="AA36" t="s">
        <v>123</v>
      </c>
      <c r="AB36" t="s">
        <v>124</v>
      </c>
    </row>
    <row r="37" spans="1:28" x14ac:dyDescent="0.35">
      <c r="A37" t="s">
        <v>178</v>
      </c>
      <c r="B37" t="s">
        <v>121</v>
      </c>
      <c r="C37" t="s">
        <v>176</v>
      </c>
      <c r="D37" t="s">
        <v>19</v>
      </c>
      <c r="E37" t="s">
        <v>129</v>
      </c>
      <c r="F37" t="s">
        <v>130</v>
      </c>
      <c r="I37" t="s">
        <v>286</v>
      </c>
      <c r="J37" t="s">
        <v>121</v>
      </c>
      <c r="K37" t="s">
        <v>285</v>
      </c>
      <c r="L37" t="s">
        <v>28</v>
      </c>
      <c r="M37" t="s">
        <v>126</v>
      </c>
      <c r="N37" t="s">
        <v>127</v>
      </c>
      <c r="P37" t="s">
        <v>291</v>
      </c>
      <c r="Q37" t="s">
        <v>121</v>
      </c>
      <c r="R37" t="s">
        <v>289</v>
      </c>
      <c r="S37" t="s">
        <v>29</v>
      </c>
      <c r="T37" t="s">
        <v>129</v>
      </c>
      <c r="U37" t="s">
        <v>130</v>
      </c>
      <c r="W37" t="s">
        <v>288</v>
      </c>
      <c r="X37" t="s">
        <v>121</v>
      </c>
      <c r="Y37" t="s">
        <v>289</v>
      </c>
      <c r="Z37" t="s">
        <v>29</v>
      </c>
      <c r="AA37" t="s">
        <v>123</v>
      </c>
      <c r="AB37" t="s">
        <v>124</v>
      </c>
    </row>
    <row r="38" spans="1:28" x14ac:dyDescent="0.35">
      <c r="A38" t="s">
        <v>179</v>
      </c>
      <c r="B38" t="s">
        <v>121</v>
      </c>
      <c r="C38" t="s">
        <v>180</v>
      </c>
      <c r="D38" t="s">
        <v>181</v>
      </c>
      <c r="E38" t="s">
        <v>123</v>
      </c>
      <c r="F38" t="s">
        <v>124</v>
      </c>
      <c r="I38" t="s">
        <v>290</v>
      </c>
      <c r="J38" t="s">
        <v>121</v>
      </c>
      <c r="K38" t="s">
        <v>289</v>
      </c>
      <c r="L38" t="s">
        <v>29</v>
      </c>
      <c r="M38" t="s">
        <v>126</v>
      </c>
      <c r="N38" t="s">
        <v>127</v>
      </c>
      <c r="P38" t="s">
        <v>295</v>
      </c>
      <c r="Q38" t="s">
        <v>121</v>
      </c>
      <c r="R38" t="s">
        <v>293</v>
      </c>
      <c r="S38" t="s">
        <v>108</v>
      </c>
      <c r="T38" t="s">
        <v>129</v>
      </c>
      <c r="U38" t="s">
        <v>130</v>
      </c>
      <c r="W38" t="s">
        <v>292</v>
      </c>
      <c r="X38" t="s">
        <v>121</v>
      </c>
      <c r="Y38" t="s">
        <v>293</v>
      </c>
      <c r="Z38" t="s">
        <v>108</v>
      </c>
      <c r="AA38" t="s">
        <v>123</v>
      </c>
      <c r="AB38" t="s">
        <v>124</v>
      </c>
    </row>
    <row r="39" spans="1:28" x14ac:dyDescent="0.35">
      <c r="A39" t="s">
        <v>182</v>
      </c>
      <c r="B39" t="s">
        <v>121</v>
      </c>
      <c r="C39" t="s">
        <v>180</v>
      </c>
      <c r="D39" t="s">
        <v>181</v>
      </c>
      <c r="E39" t="s">
        <v>126</v>
      </c>
      <c r="F39" t="s">
        <v>127</v>
      </c>
      <c r="I39" t="s">
        <v>294</v>
      </c>
      <c r="J39" t="s">
        <v>121</v>
      </c>
      <c r="K39" t="s">
        <v>293</v>
      </c>
      <c r="L39" t="s">
        <v>108</v>
      </c>
      <c r="M39" t="s">
        <v>126</v>
      </c>
      <c r="N39" t="s">
        <v>127</v>
      </c>
      <c r="P39" t="s">
        <v>300</v>
      </c>
      <c r="Q39" t="s">
        <v>121</v>
      </c>
      <c r="R39" t="s">
        <v>297</v>
      </c>
      <c r="S39" t="s">
        <v>298</v>
      </c>
      <c r="T39" t="s">
        <v>129</v>
      </c>
      <c r="U39" t="s">
        <v>130</v>
      </c>
      <c r="W39" t="s">
        <v>296</v>
      </c>
      <c r="X39" t="s">
        <v>121</v>
      </c>
      <c r="Y39" t="s">
        <v>297</v>
      </c>
      <c r="Z39" t="s">
        <v>298</v>
      </c>
      <c r="AA39" t="s">
        <v>123</v>
      </c>
      <c r="AB39" t="s">
        <v>124</v>
      </c>
    </row>
    <row r="40" spans="1:28" x14ac:dyDescent="0.35">
      <c r="A40" t="s">
        <v>183</v>
      </c>
      <c r="B40" t="s">
        <v>121</v>
      </c>
      <c r="C40" t="s">
        <v>180</v>
      </c>
      <c r="D40" t="s">
        <v>181</v>
      </c>
      <c r="E40" t="s">
        <v>129</v>
      </c>
      <c r="F40" t="s">
        <v>130</v>
      </c>
      <c r="I40" t="s">
        <v>299</v>
      </c>
      <c r="J40" t="s">
        <v>121</v>
      </c>
      <c r="K40" t="s">
        <v>297</v>
      </c>
      <c r="L40" t="s">
        <v>298</v>
      </c>
      <c r="M40" t="s">
        <v>126</v>
      </c>
      <c r="N40" t="s">
        <v>127</v>
      </c>
      <c r="P40" t="s">
        <v>304</v>
      </c>
      <c r="Q40" t="s">
        <v>121</v>
      </c>
      <c r="R40" t="s">
        <v>302</v>
      </c>
      <c r="S40" t="s">
        <v>48</v>
      </c>
      <c r="T40" t="s">
        <v>129</v>
      </c>
      <c r="U40" t="s">
        <v>130</v>
      </c>
      <c r="W40" t="s">
        <v>301</v>
      </c>
      <c r="X40" t="s">
        <v>121</v>
      </c>
      <c r="Y40" t="s">
        <v>302</v>
      </c>
      <c r="Z40" t="s">
        <v>48</v>
      </c>
      <c r="AA40" t="s">
        <v>123</v>
      </c>
      <c r="AB40" t="s">
        <v>124</v>
      </c>
    </row>
    <row r="41" spans="1:28" x14ac:dyDescent="0.35">
      <c r="A41" t="s">
        <v>184</v>
      </c>
      <c r="B41" t="s">
        <v>121</v>
      </c>
      <c r="C41" t="s">
        <v>185</v>
      </c>
      <c r="D41" t="s">
        <v>20</v>
      </c>
      <c r="E41" t="s">
        <v>123</v>
      </c>
      <c r="F41" t="s">
        <v>124</v>
      </c>
      <c r="I41" t="s">
        <v>303</v>
      </c>
      <c r="J41" t="s">
        <v>121</v>
      </c>
      <c r="K41" t="s">
        <v>302</v>
      </c>
      <c r="L41" t="s">
        <v>48</v>
      </c>
      <c r="M41" t="s">
        <v>126</v>
      </c>
      <c r="N41" t="s">
        <v>127</v>
      </c>
      <c r="P41" t="s">
        <v>308</v>
      </c>
      <c r="Q41" t="s">
        <v>121</v>
      </c>
      <c r="R41" t="s">
        <v>306</v>
      </c>
      <c r="S41" t="s">
        <v>31</v>
      </c>
      <c r="T41" t="s">
        <v>129</v>
      </c>
      <c r="U41" t="s">
        <v>130</v>
      </c>
      <c r="W41" t="s">
        <v>305</v>
      </c>
      <c r="X41" t="s">
        <v>121</v>
      </c>
      <c r="Y41" t="s">
        <v>306</v>
      </c>
      <c r="Z41" t="s">
        <v>31</v>
      </c>
      <c r="AA41" t="s">
        <v>123</v>
      </c>
      <c r="AB41" t="s">
        <v>124</v>
      </c>
    </row>
    <row r="42" spans="1:28" x14ac:dyDescent="0.35">
      <c r="A42" t="s">
        <v>186</v>
      </c>
      <c r="B42" t="s">
        <v>121</v>
      </c>
      <c r="C42" t="s">
        <v>185</v>
      </c>
      <c r="D42" t="s">
        <v>20</v>
      </c>
      <c r="E42" t="s">
        <v>126</v>
      </c>
      <c r="F42" t="s">
        <v>127</v>
      </c>
      <c r="I42" t="s">
        <v>307</v>
      </c>
      <c r="J42" t="s">
        <v>121</v>
      </c>
      <c r="K42" t="s">
        <v>306</v>
      </c>
      <c r="L42" t="s">
        <v>31</v>
      </c>
      <c r="M42" t="s">
        <v>126</v>
      </c>
      <c r="N42" t="s">
        <v>127</v>
      </c>
      <c r="P42" t="s">
        <v>312</v>
      </c>
      <c r="Q42" t="s">
        <v>121</v>
      </c>
      <c r="R42" t="s">
        <v>310</v>
      </c>
      <c r="S42" t="s">
        <v>32</v>
      </c>
      <c r="T42" t="s">
        <v>129</v>
      </c>
      <c r="U42" t="s">
        <v>130</v>
      </c>
      <c r="W42" t="s">
        <v>309</v>
      </c>
      <c r="X42" t="s">
        <v>121</v>
      </c>
      <c r="Y42" t="s">
        <v>310</v>
      </c>
      <c r="Z42" t="s">
        <v>32</v>
      </c>
      <c r="AA42" t="s">
        <v>123</v>
      </c>
      <c r="AB42" t="s">
        <v>124</v>
      </c>
    </row>
    <row r="43" spans="1:28" x14ac:dyDescent="0.35">
      <c r="A43" t="s">
        <v>187</v>
      </c>
      <c r="B43" t="s">
        <v>121</v>
      </c>
      <c r="C43" t="s">
        <v>185</v>
      </c>
      <c r="D43" t="s">
        <v>20</v>
      </c>
      <c r="E43" t="s">
        <v>129</v>
      </c>
      <c r="F43" t="s">
        <v>130</v>
      </c>
      <c r="I43" t="s">
        <v>311</v>
      </c>
      <c r="J43" t="s">
        <v>121</v>
      </c>
      <c r="K43" t="s">
        <v>310</v>
      </c>
      <c r="L43" t="s">
        <v>32</v>
      </c>
      <c r="M43" t="s">
        <v>126</v>
      </c>
      <c r="N43" t="s">
        <v>127</v>
      </c>
      <c r="P43" t="s">
        <v>317</v>
      </c>
      <c r="Q43" t="s">
        <v>121</v>
      </c>
      <c r="R43" t="s">
        <v>314</v>
      </c>
      <c r="S43" t="s">
        <v>315</v>
      </c>
      <c r="T43" t="s">
        <v>129</v>
      </c>
      <c r="U43" t="s">
        <v>130</v>
      </c>
      <c r="W43" t="s">
        <v>313</v>
      </c>
      <c r="X43" t="s">
        <v>121</v>
      </c>
      <c r="Y43" t="s">
        <v>314</v>
      </c>
      <c r="Z43" t="s">
        <v>315</v>
      </c>
      <c r="AA43" t="s">
        <v>123</v>
      </c>
      <c r="AB43" t="s">
        <v>124</v>
      </c>
    </row>
    <row r="44" spans="1:28" x14ac:dyDescent="0.35">
      <c r="A44" t="s">
        <v>188</v>
      </c>
      <c r="B44" t="s">
        <v>121</v>
      </c>
      <c r="C44" t="s">
        <v>189</v>
      </c>
      <c r="D44" t="s">
        <v>190</v>
      </c>
      <c r="E44" t="s">
        <v>123</v>
      </c>
      <c r="F44" t="s">
        <v>124</v>
      </c>
      <c r="I44" t="s">
        <v>316</v>
      </c>
      <c r="J44" t="s">
        <v>121</v>
      </c>
      <c r="K44" t="s">
        <v>314</v>
      </c>
      <c r="L44" t="s">
        <v>315</v>
      </c>
      <c r="M44" t="s">
        <v>126</v>
      </c>
      <c r="N44" t="s">
        <v>127</v>
      </c>
      <c r="P44" t="s">
        <v>321</v>
      </c>
      <c r="Q44" t="s">
        <v>121</v>
      </c>
      <c r="R44" t="s">
        <v>319</v>
      </c>
      <c r="S44" t="s">
        <v>55</v>
      </c>
      <c r="T44" t="s">
        <v>129</v>
      </c>
      <c r="U44" t="s">
        <v>130</v>
      </c>
      <c r="W44" t="s">
        <v>318</v>
      </c>
      <c r="X44" t="s">
        <v>121</v>
      </c>
      <c r="Y44" t="s">
        <v>319</v>
      </c>
      <c r="Z44" t="s">
        <v>55</v>
      </c>
      <c r="AA44" t="s">
        <v>123</v>
      </c>
      <c r="AB44" t="s">
        <v>124</v>
      </c>
    </row>
    <row r="45" spans="1:28" x14ac:dyDescent="0.35">
      <c r="A45" t="s">
        <v>191</v>
      </c>
      <c r="B45" t="s">
        <v>121</v>
      </c>
      <c r="C45" t="s">
        <v>189</v>
      </c>
      <c r="D45" t="s">
        <v>190</v>
      </c>
      <c r="E45" t="s">
        <v>126</v>
      </c>
      <c r="F45" t="s">
        <v>127</v>
      </c>
      <c r="I45" t="s">
        <v>320</v>
      </c>
      <c r="J45" t="s">
        <v>121</v>
      </c>
      <c r="K45" t="s">
        <v>319</v>
      </c>
      <c r="L45" t="s">
        <v>55</v>
      </c>
      <c r="M45" t="s">
        <v>126</v>
      </c>
      <c r="N45" t="s">
        <v>127</v>
      </c>
      <c r="P45" t="s">
        <v>325</v>
      </c>
      <c r="Q45" t="s">
        <v>121</v>
      </c>
      <c r="R45" t="s">
        <v>323</v>
      </c>
      <c r="S45" t="s">
        <v>33</v>
      </c>
      <c r="T45" t="s">
        <v>129</v>
      </c>
      <c r="U45" t="s">
        <v>130</v>
      </c>
      <c r="W45" t="s">
        <v>322</v>
      </c>
      <c r="X45" t="s">
        <v>121</v>
      </c>
      <c r="Y45" t="s">
        <v>323</v>
      </c>
      <c r="Z45" t="s">
        <v>33</v>
      </c>
      <c r="AA45" t="s">
        <v>123</v>
      </c>
      <c r="AB45" t="s">
        <v>124</v>
      </c>
    </row>
    <row r="46" spans="1:28" x14ac:dyDescent="0.35">
      <c r="A46" t="s">
        <v>192</v>
      </c>
      <c r="B46" t="s">
        <v>121</v>
      </c>
      <c r="C46" t="s">
        <v>189</v>
      </c>
      <c r="D46" t="s">
        <v>190</v>
      </c>
      <c r="E46" t="s">
        <v>129</v>
      </c>
      <c r="F46" t="s">
        <v>130</v>
      </c>
      <c r="I46" t="s">
        <v>324</v>
      </c>
      <c r="J46" t="s">
        <v>121</v>
      </c>
      <c r="K46" t="s">
        <v>323</v>
      </c>
      <c r="L46" t="s">
        <v>33</v>
      </c>
      <c r="M46" t="s">
        <v>126</v>
      </c>
      <c r="N46" t="s">
        <v>127</v>
      </c>
      <c r="P46" t="s">
        <v>330</v>
      </c>
      <c r="Q46" t="s">
        <v>121</v>
      </c>
      <c r="R46" t="s">
        <v>327</v>
      </c>
      <c r="S46" t="s">
        <v>328</v>
      </c>
      <c r="T46" t="s">
        <v>129</v>
      </c>
      <c r="U46" t="s">
        <v>130</v>
      </c>
      <c r="W46" t="s">
        <v>326</v>
      </c>
      <c r="X46" t="s">
        <v>121</v>
      </c>
      <c r="Y46" t="s">
        <v>327</v>
      </c>
      <c r="Z46" t="s">
        <v>328</v>
      </c>
      <c r="AA46" t="s">
        <v>123</v>
      </c>
      <c r="AB46" t="s">
        <v>124</v>
      </c>
    </row>
    <row r="47" spans="1:28" x14ac:dyDescent="0.35">
      <c r="A47" t="s">
        <v>193</v>
      </c>
      <c r="B47" t="s">
        <v>121</v>
      </c>
      <c r="C47" t="s">
        <v>194</v>
      </c>
      <c r="D47" t="s">
        <v>195</v>
      </c>
      <c r="E47" t="s">
        <v>123</v>
      </c>
      <c r="F47" t="s">
        <v>124</v>
      </c>
      <c r="I47" t="s">
        <v>329</v>
      </c>
      <c r="J47" t="s">
        <v>121</v>
      </c>
      <c r="K47" t="s">
        <v>327</v>
      </c>
      <c r="L47" t="s">
        <v>328</v>
      </c>
      <c r="M47" t="s">
        <v>126</v>
      </c>
      <c r="N47" t="s">
        <v>127</v>
      </c>
    </row>
    <row r="48" spans="1:28" x14ac:dyDescent="0.35">
      <c r="A48" t="s">
        <v>196</v>
      </c>
      <c r="B48" t="s">
        <v>121</v>
      </c>
      <c r="C48" t="s">
        <v>194</v>
      </c>
      <c r="D48" t="s">
        <v>195</v>
      </c>
      <c r="E48" t="s">
        <v>126</v>
      </c>
      <c r="F48" t="s">
        <v>127</v>
      </c>
    </row>
    <row r="49" spans="1:6" x14ac:dyDescent="0.35">
      <c r="A49" t="s">
        <v>197</v>
      </c>
      <c r="B49" t="s">
        <v>121</v>
      </c>
      <c r="C49" t="s">
        <v>194</v>
      </c>
      <c r="D49" t="s">
        <v>195</v>
      </c>
      <c r="E49" t="s">
        <v>129</v>
      </c>
      <c r="F49" t="s">
        <v>130</v>
      </c>
    </row>
    <row r="50" spans="1:6" x14ac:dyDescent="0.35">
      <c r="A50" t="s">
        <v>198</v>
      </c>
      <c r="B50" t="s">
        <v>121</v>
      </c>
      <c r="C50" t="s">
        <v>199</v>
      </c>
      <c r="D50" t="s">
        <v>200</v>
      </c>
      <c r="E50" t="s">
        <v>123</v>
      </c>
      <c r="F50" t="s">
        <v>124</v>
      </c>
    </row>
    <row r="51" spans="1:6" x14ac:dyDescent="0.35">
      <c r="A51" t="s">
        <v>201</v>
      </c>
      <c r="B51" t="s">
        <v>121</v>
      </c>
      <c r="C51" t="s">
        <v>199</v>
      </c>
      <c r="D51" t="s">
        <v>200</v>
      </c>
      <c r="E51" t="s">
        <v>126</v>
      </c>
      <c r="F51" t="s">
        <v>127</v>
      </c>
    </row>
    <row r="52" spans="1:6" x14ac:dyDescent="0.35">
      <c r="A52" t="s">
        <v>202</v>
      </c>
      <c r="B52" t="s">
        <v>121</v>
      </c>
      <c r="C52" t="s">
        <v>199</v>
      </c>
      <c r="D52" t="s">
        <v>200</v>
      </c>
      <c r="E52" t="s">
        <v>129</v>
      </c>
      <c r="F52" t="s">
        <v>130</v>
      </c>
    </row>
    <row r="53" spans="1:6" x14ac:dyDescent="0.35">
      <c r="A53" t="s">
        <v>203</v>
      </c>
      <c r="B53" t="s">
        <v>121</v>
      </c>
      <c r="C53" t="s">
        <v>204</v>
      </c>
      <c r="D53" t="s">
        <v>80</v>
      </c>
      <c r="E53" t="s">
        <v>123</v>
      </c>
      <c r="F53" t="s">
        <v>124</v>
      </c>
    </row>
    <row r="54" spans="1:6" x14ac:dyDescent="0.35">
      <c r="A54" t="s">
        <v>205</v>
      </c>
      <c r="B54" t="s">
        <v>121</v>
      </c>
      <c r="C54" t="s">
        <v>204</v>
      </c>
      <c r="D54" t="s">
        <v>80</v>
      </c>
      <c r="E54" t="s">
        <v>126</v>
      </c>
      <c r="F54" t="s">
        <v>127</v>
      </c>
    </row>
    <row r="55" spans="1:6" x14ac:dyDescent="0.35">
      <c r="A55" t="s">
        <v>206</v>
      </c>
      <c r="B55" t="s">
        <v>121</v>
      </c>
      <c r="C55" t="s">
        <v>204</v>
      </c>
      <c r="D55" t="s">
        <v>80</v>
      </c>
      <c r="E55" t="s">
        <v>129</v>
      </c>
      <c r="F55" t="s">
        <v>130</v>
      </c>
    </row>
    <row r="56" spans="1:6" x14ac:dyDescent="0.35">
      <c r="A56" t="s">
        <v>207</v>
      </c>
      <c r="B56" t="s">
        <v>121</v>
      </c>
      <c r="C56" t="s">
        <v>208</v>
      </c>
      <c r="D56" t="s">
        <v>21</v>
      </c>
      <c r="E56" t="s">
        <v>123</v>
      </c>
      <c r="F56" t="s">
        <v>124</v>
      </c>
    </row>
    <row r="57" spans="1:6" x14ac:dyDescent="0.35">
      <c r="A57" t="s">
        <v>209</v>
      </c>
      <c r="B57" t="s">
        <v>121</v>
      </c>
      <c r="C57" t="s">
        <v>208</v>
      </c>
      <c r="D57" t="s">
        <v>21</v>
      </c>
      <c r="E57" t="s">
        <v>126</v>
      </c>
      <c r="F57" t="s">
        <v>127</v>
      </c>
    </row>
    <row r="58" spans="1:6" x14ac:dyDescent="0.35">
      <c r="A58" t="s">
        <v>210</v>
      </c>
      <c r="B58" t="s">
        <v>121</v>
      </c>
      <c r="C58" t="s">
        <v>208</v>
      </c>
      <c r="D58" t="s">
        <v>21</v>
      </c>
      <c r="E58" t="s">
        <v>129</v>
      </c>
      <c r="F58" t="s">
        <v>130</v>
      </c>
    </row>
    <row r="59" spans="1:6" x14ac:dyDescent="0.35">
      <c r="A59" t="s">
        <v>211</v>
      </c>
      <c r="B59" t="s">
        <v>121</v>
      </c>
      <c r="C59" t="s">
        <v>212</v>
      </c>
      <c r="D59" t="s">
        <v>213</v>
      </c>
      <c r="E59" t="s">
        <v>123</v>
      </c>
      <c r="F59" t="s">
        <v>124</v>
      </c>
    </row>
    <row r="60" spans="1:6" x14ac:dyDescent="0.35">
      <c r="A60" t="s">
        <v>214</v>
      </c>
      <c r="B60" t="s">
        <v>121</v>
      </c>
      <c r="C60" t="s">
        <v>212</v>
      </c>
      <c r="D60" t="s">
        <v>213</v>
      </c>
      <c r="E60" t="s">
        <v>126</v>
      </c>
      <c r="F60" t="s">
        <v>127</v>
      </c>
    </row>
    <row r="61" spans="1:6" x14ac:dyDescent="0.35">
      <c r="A61" t="s">
        <v>215</v>
      </c>
      <c r="B61" t="s">
        <v>121</v>
      </c>
      <c r="C61" t="s">
        <v>212</v>
      </c>
      <c r="D61" t="s">
        <v>213</v>
      </c>
      <c r="E61" t="s">
        <v>129</v>
      </c>
      <c r="F61" t="s">
        <v>130</v>
      </c>
    </row>
    <row r="62" spans="1:6" x14ac:dyDescent="0.35">
      <c r="A62" t="s">
        <v>216</v>
      </c>
      <c r="B62" t="s">
        <v>121</v>
      </c>
      <c r="C62" t="s">
        <v>217</v>
      </c>
      <c r="D62" t="s">
        <v>218</v>
      </c>
      <c r="E62" t="s">
        <v>123</v>
      </c>
      <c r="F62" t="s">
        <v>124</v>
      </c>
    </row>
    <row r="63" spans="1:6" x14ac:dyDescent="0.35">
      <c r="A63" t="s">
        <v>219</v>
      </c>
      <c r="B63" t="s">
        <v>121</v>
      </c>
      <c r="C63" t="s">
        <v>217</v>
      </c>
      <c r="D63" t="s">
        <v>218</v>
      </c>
      <c r="E63" t="s">
        <v>126</v>
      </c>
      <c r="F63" t="s">
        <v>127</v>
      </c>
    </row>
    <row r="64" spans="1:6" x14ac:dyDescent="0.35">
      <c r="A64" t="s">
        <v>220</v>
      </c>
      <c r="B64" t="s">
        <v>121</v>
      </c>
      <c r="C64" t="s">
        <v>217</v>
      </c>
      <c r="D64" t="s">
        <v>218</v>
      </c>
      <c r="E64" t="s">
        <v>129</v>
      </c>
      <c r="F64" t="s">
        <v>130</v>
      </c>
    </row>
    <row r="65" spans="1:6" x14ac:dyDescent="0.35">
      <c r="A65" t="s">
        <v>221</v>
      </c>
      <c r="B65" t="s">
        <v>121</v>
      </c>
      <c r="C65" t="s">
        <v>222</v>
      </c>
      <c r="D65" t="s">
        <v>58</v>
      </c>
      <c r="E65" t="s">
        <v>123</v>
      </c>
      <c r="F65" t="s">
        <v>124</v>
      </c>
    </row>
    <row r="66" spans="1:6" x14ac:dyDescent="0.35">
      <c r="A66" t="s">
        <v>223</v>
      </c>
      <c r="B66" t="s">
        <v>121</v>
      </c>
      <c r="C66" t="s">
        <v>222</v>
      </c>
      <c r="D66" t="s">
        <v>58</v>
      </c>
      <c r="E66" t="s">
        <v>126</v>
      </c>
      <c r="F66" t="s">
        <v>127</v>
      </c>
    </row>
    <row r="67" spans="1:6" x14ac:dyDescent="0.35">
      <c r="A67" t="s">
        <v>224</v>
      </c>
      <c r="B67" t="s">
        <v>121</v>
      </c>
      <c r="C67" t="s">
        <v>222</v>
      </c>
      <c r="D67" t="s">
        <v>58</v>
      </c>
      <c r="E67" t="s">
        <v>129</v>
      </c>
      <c r="F67" t="s">
        <v>130</v>
      </c>
    </row>
    <row r="68" spans="1:6" x14ac:dyDescent="0.35">
      <c r="A68" t="s">
        <v>225</v>
      </c>
      <c r="B68" t="s">
        <v>121</v>
      </c>
      <c r="C68" t="s">
        <v>226</v>
      </c>
      <c r="D68" t="s">
        <v>227</v>
      </c>
      <c r="E68" t="s">
        <v>123</v>
      </c>
      <c r="F68" t="s">
        <v>124</v>
      </c>
    </row>
    <row r="69" spans="1:6" x14ac:dyDescent="0.35">
      <c r="A69" t="s">
        <v>228</v>
      </c>
      <c r="B69" t="s">
        <v>121</v>
      </c>
      <c r="C69" t="s">
        <v>226</v>
      </c>
      <c r="D69" t="s">
        <v>227</v>
      </c>
      <c r="E69" t="s">
        <v>126</v>
      </c>
      <c r="F69" t="s">
        <v>127</v>
      </c>
    </row>
    <row r="70" spans="1:6" x14ac:dyDescent="0.35">
      <c r="A70" t="s">
        <v>229</v>
      </c>
      <c r="B70" t="s">
        <v>121</v>
      </c>
      <c r="C70" t="s">
        <v>226</v>
      </c>
      <c r="D70" t="s">
        <v>227</v>
      </c>
      <c r="E70" t="s">
        <v>129</v>
      </c>
      <c r="F70" t="s">
        <v>130</v>
      </c>
    </row>
    <row r="71" spans="1:6" x14ac:dyDescent="0.35">
      <c r="A71" t="s">
        <v>230</v>
      </c>
      <c r="B71" t="s">
        <v>121</v>
      </c>
      <c r="C71" t="s">
        <v>231</v>
      </c>
      <c r="D71" t="s">
        <v>232</v>
      </c>
      <c r="E71" t="s">
        <v>123</v>
      </c>
      <c r="F71" t="s">
        <v>124</v>
      </c>
    </row>
    <row r="72" spans="1:6" x14ac:dyDescent="0.35">
      <c r="A72" t="s">
        <v>233</v>
      </c>
      <c r="B72" t="s">
        <v>121</v>
      </c>
      <c r="C72" t="s">
        <v>231</v>
      </c>
      <c r="D72" t="s">
        <v>232</v>
      </c>
      <c r="E72" t="s">
        <v>126</v>
      </c>
      <c r="F72" t="s">
        <v>127</v>
      </c>
    </row>
    <row r="73" spans="1:6" x14ac:dyDescent="0.35">
      <c r="A73" t="s">
        <v>234</v>
      </c>
      <c r="B73" t="s">
        <v>121</v>
      </c>
      <c r="C73" t="s">
        <v>231</v>
      </c>
      <c r="D73" t="s">
        <v>232</v>
      </c>
      <c r="E73" t="s">
        <v>129</v>
      </c>
      <c r="F73" t="s">
        <v>130</v>
      </c>
    </row>
    <row r="74" spans="1:6" x14ac:dyDescent="0.35">
      <c r="A74" t="s">
        <v>235</v>
      </c>
      <c r="B74" t="s">
        <v>121</v>
      </c>
      <c r="C74" t="s">
        <v>236</v>
      </c>
      <c r="D74" t="s">
        <v>237</v>
      </c>
      <c r="E74" t="s">
        <v>123</v>
      </c>
      <c r="F74" t="s">
        <v>124</v>
      </c>
    </row>
    <row r="75" spans="1:6" x14ac:dyDescent="0.35">
      <c r="A75" t="s">
        <v>238</v>
      </c>
      <c r="B75" t="s">
        <v>121</v>
      </c>
      <c r="C75" t="s">
        <v>236</v>
      </c>
      <c r="D75" t="s">
        <v>237</v>
      </c>
      <c r="E75" t="s">
        <v>126</v>
      </c>
      <c r="F75" t="s">
        <v>127</v>
      </c>
    </row>
    <row r="76" spans="1:6" x14ac:dyDescent="0.35">
      <c r="A76" t="s">
        <v>239</v>
      </c>
      <c r="B76" t="s">
        <v>121</v>
      </c>
      <c r="C76" t="s">
        <v>236</v>
      </c>
      <c r="D76" t="s">
        <v>237</v>
      </c>
      <c r="E76" t="s">
        <v>129</v>
      </c>
      <c r="F76" t="s">
        <v>130</v>
      </c>
    </row>
    <row r="77" spans="1:6" x14ac:dyDescent="0.35">
      <c r="A77" t="s">
        <v>240</v>
      </c>
      <c r="B77" t="s">
        <v>121</v>
      </c>
      <c r="C77" t="s">
        <v>241</v>
      </c>
      <c r="D77" t="s">
        <v>22</v>
      </c>
      <c r="E77" t="s">
        <v>123</v>
      </c>
      <c r="F77" t="s">
        <v>124</v>
      </c>
    </row>
    <row r="78" spans="1:6" x14ac:dyDescent="0.35">
      <c r="A78" t="s">
        <v>242</v>
      </c>
      <c r="B78" t="s">
        <v>121</v>
      </c>
      <c r="C78" t="s">
        <v>241</v>
      </c>
      <c r="D78" t="s">
        <v>22</v>
      </c>
      <c r="E78" t="s">
        <v>126</v>
      </c>
      <c r="F78" t="s">
        <v>127</v>
      </c>
    </row>
    <row r="79" spans="1:6" x14ac:dyDescent="0.35">
      <c r="A79" t="s">
        <v>243</v>
      </c>
      <c r="B79" t="s">
        <v>121</v>
      </c>
      <c r="C79" t="s">
        <v>241</v>
      </c>
      <c r="D79" t="s">
        <v>22</v>
      </c>
      <c r="E79" t="s">
        <v>129</v>
      </c>
      <c r="F79" t="s">
        <v>130</v>
      </c>
    </row>
    <row r="80" spans="1:6" x14ac:dyDescent="0.35">
      <c r="A80" t="s">
        <v>244</v>
      </c>
      <c r="B80" t="s">
        <v>121</v>
      </c>
      <c r="C80" t="s">
        <v>245</v>
      </c>
      <c r="D80" t="s">
        <v>23</v>
      </c>
      <c r="E80" t="s">
        <v>123</v>
      </c>
      <c r="F80" t="s">
        <v>124</v>
      </c>
    </row>
    <row r="81" spans="1:6" x14ac:dyDescent="0.35">
      <c r="A81" t="s">
        <v>246</v>
      </c>
      <c r="B81" t="s">
        <v>121</v>
      </c>
      <c r="C81" t="s">
        <v>245</v>
      </c>
      <c r="D81" t="s">
        <v>23</v>
      </c>
      <c r="E81" t="s">
        <v>126</v>
      </c>
      <c r="F81" t="s">
        <v>127</v>
      </c>
    </row>
    <row r="82" spans="1:6" x14ac:dyDescent="0.35">
      <c r="A82" t="s">
        <v>247</v>
      </c>
      <c r="B82" t="s">
        <v>121</v>
      </c>
      <c r="C82" t="s">
        <v>245</v>
      </c>
      <c r="D82" t="s">
        <v>23</v>
      </c>
      <c r="E82" t="s">
        <v>129</v>
      </c>
      <c r="F82" t="s">
        <v>130</v>
      </c>
    </row>
    <row r="83" spans="1:6" x14ac:dyDescent="0.35">
      <c r="A83" t="s">
        <v>248</v>
      </c>
      <c r="B83" t="s">
        <v>121</v>
      </c>
      <c r="C83" t="s">
        <v>249</v>
      </c>
      <c r="D83" t="s">
        <v>250</v>
      </c>
      <c r="E83" t="s">
        <v>123</v>
      </c>
      <c r="F83" t="s">
        <v>124</v>
      </c>
    </row>
    <row r="84" spans="1:6" x14ac:dyDescent="0.35">
      <c r="A84" t="s">
        <v>251</v>
      </c>
      <c r="B84" t="s">
        <v>121</v>
      </c>
      <c r="C84" t="s">
        <v>249</v>
      </c>
      <c r="D84" t="s">
        <v>250</v>
      </c>
      <c r="E84" t="s">
        <v>126</v>
      </c>
      <c r="F84" t="s">
        <v>127</v>
      </c>
    </row>
    <row r="85" spans="1:6" x14ac:dyDescent="0.35">
      <c r="A85" t="s">
        <v>252</v>
      </c>
      <c r="B85" t="s">
        <v>121</v>
      </c>
      <c r="C85" t="s">
        <v>249</v>
      </c>
      <c r="D85" t="s">
        <v>250</v>
      </c>
      <c r="E85" t="s">
        <v>129</v>
      </c>
      <c r="F85" t="s">
        <v>130</v>
      </c>
    </row>
    <row r="86" spans="1:6" x14ac:dyDescent="0.35">
      <c r="A86" t="s">
        <v>253</v>
      </c>
      <c r="B86" t="s">
        <v>121</v>
      </c>
      <c r="C86" t="s">
        <v>254</v>
      </c>
      <c r="D86" t="s">
        <v>255</v>
      </c>
      <c r="E86" t="s">
        <v>123</v>
      </c>
      <c r="F86" t="s">
        <v>124</v>
      </c>
    </row>
    <row r="87" spans="1:6" x14ac:dyDescent="0.35">
      <c r="A87" t="s">
        <v>256</v>
      </c>
      <c r="B87" t="s">
        <v>121</v>
      </c>
      <c r="C87" t="s">
        <v>254</v>
      </c>
      <c r="D87" t="s">
        <v>255</v>
      </c>
      <c r="E87" t="s">
        <v>126</v>
      </c>
      <c r="F87" t="s">
        <v>127</v>
      </c>
    </row>
    <row r="88" spans="1:6" x14ac:dyDescent="0.35">
      <c r="A88" t="s">
        <v>257</v>
      </c>
      <c r="B88" t="s">
        <v>121</v>
      </c>
      <c r="C88" t="s">
        <v>254</v>
      </c>
      <c r="D88" t="s">
        <v>255</v>
      </c>
      <c r="E88" t="s">
        <v>129</v>
      </c>
      <c r="F88" t="s">
        <v>130</v>
      </c>
    </row>
    <row r="89" spans="1:6" x14ac:dyDescent="0.35">
      <c r="A89" t="s">
        <v>258</v>
      </c>
      <c r="B89" t="s">
        <v>121</v>
      </c>
      <c r="C89" t="s">
        <v>259</v>
      </c>
      <c r="D89" t="s">
        <v>24</v>
      </c>
      <c r="E89" t="s">
        <v>123</v>
      </c>
      <c r="F89" t="s">
        <v>124</v>
      </c>
    </row>
    <row r="90" spans="1:6" x14ac:dyDescent="0.35">
      <c r="A90" t="s">
        <v>260</v>
      </c>
      <c r="B90" t="s">
        <v>121</v>
      </c>
      <c r="C90" t="s">
        <v>259</v>
      </c>
      <c r="D90" t="s">
        <v>24</v>
      </c>
      <c r="E90" t="s">
        <v>126</v>
      </c>
      <c r="F90" t="s">
        <v>127</v>
      </c>
    </row>
    <row r="91" spans="1:6" x14ac:dyDescent="0.35">
      <c r="A91" t="s">
        <v>261</v>
      </c>
      <c r="B91" t="s">
        <v>121</v>
      </c>
      <c r="C91" t="s">
        <v>259</v>
      </c>
      <c r="D91" t="s">
        <v>24</v>
      </c>
      <c r="E91" t="s">
        <v>129</v>
      </c>
      <c r="F91" t="s">
        <v>130</v>
      </c>
    </row>
    <row r="92" spans="1:6" x14ac:dyDescent="0.35">
      <c r="A92" t="s">
        <v>262</v>
      </c>
      <c r="B92" t="s">
        <v>121</v>
      </c>
      <c r="C92" t="s">
        <v>263</v>
      </c>
      <c r="D92" t="s">
        <v>264</v>
      </c>
      <c r="E92" t="s">
        <v>123</v>
      </c>
      <c r="F92" t="s">
        <v>124</v>
      </c>
    </row>
    <row r="93" spans="1:6" x14ac:dyDescent="0.35">
      <c r="A93" t="s">
        <v>265</v>
      </c>
      <c r="B93" t="s">
        <v>121</v>
      </c>
      <c r="C93" t="s">
        <v>263</v>
      </c>
      <c r="D93" t="s">
        <v>264</v>
      </c>
      <c r="E93" t="s">
        <v>126</v>
      </c>
      <c r="F93" t="s">
        <v>127</v>
      </c>
    </row>
    <row r="94" spans="1:6" x14ac:dyDescent="0.35">
      <c r="A94" t="s">
        <v>266</v>
      </c>
      <c r="B94" t="s">
        <v>121</v>
      </c>
      <c r="C94" t="s">
        <v>263</v>
      </c>
      <c r="D94" t="s">
        <v>264</v>
      </c>
      <c r="E94" t="s">
        <v>129</v>
      </c>
      <c r="F94" t="s">
        <v>130</v>
      </c>
    </row>
    <row r="95" spans="1:6" x14ac:dyDescent="0.35">
      <c r="A95" t="s">
        <v>267</v>
      </c>
      <c r="B95" t="s">
        <v>121</v>
      </c>
      <c r="C95" t="s">
        <v>268</v>
      </c>
      <c r="D95" t="s">
        <v>269</v>
      </c>
      <c r="E95" t="s">
        <v>123</v>
      </c>
      <c r="F95" t="s">
        <v>124</v>
      </c>
    </row>
    <row r="96" spans="1:6" x14ac:dyDescent="0.35">
      <c r="A96" t="s">
        <v>270</v>
      </c>
      <c r="B96" t="s">
        <v>121</v>
      </c>
      <c r="C96" t="s">
        <v>268</v>
      </c>
      <c r="D96" t="s">
        <v>269</v>
      </c>
      <c r="E96" t="s">
        <v>126</v>
      </c>
      <c r="F96" t="s">
        <v>127</v>
      </c>
    </row>
    <row r="97" spans="1:6" x14ac:dyDescent="0.35">
      <c r="A97" t="s">
        <v>271</v>
      </c>
      <c r="B97" t="s">
        <v>121</v>
      </c>
      <c r="C97" t="s">
        <v>268</v>
      </c>
      <c r="D97" t="s">
        <v>269</v>
      </c>
      <c r="E97" t="s">
        <v>129</v>
      </c>
      <c r="F97" t="s">
        <v>130</v>
      </c>
    </row>
    <row r="98" spans="1:6" x14ac:dyDescent="0.35">
      <c r="A98" t="s">
        <v>272</v>
      </c>
      <c r="B98" t="s">
        <v>121</v>
      </c>
      <c r="C98" t="s">
        <v>273</v>
      </c>
      <c r="D98" t="s">
        <v>25</v>
      </c>
      <c r="E98" t="s">
        <v>123</v>
      </c>
      <c r="F98" t="s">
        <v>124</v>
      </c>
    </row>
    <row r="99" spans="1:6" x14ac:dyDescent="0.35">
      <c r="A99" t="s">
        <v>274</v>
      </c>
      <c r="B99" t="s">
        <v>121</v>
      </c>
      <c r="C99" t="s">
        <v>273</v>
      </c>
      <c r="D99" t="s">
        <v>25</v>
      </c>
      <c r="E99" t="s">
        <v>126</v>
      </c>
      <c r="F99" t="s">
        <v>127</v>
      </c>
    </row>
    <row r="100" spans="1:6" x14ac:dyDescent="0.35">
      <c r="A100" t="s">
        <v>275</v>
      </c>
      <c r="B100" t="s">
        <v>121</v>
      </c>
      <c r="C100" t="s">
        <v>273</v>
      </c>
      <c r="D100" t="s">
        <v>25</v>
      </c>
      <c r="E100" t="s">
        <v>129</v>
      </c>
      <c r="F100" t="s">
        <v>130</v>
      </c>
    </row>
    <row r="101" spans="1:6" x14ac:dyDescent="0.35">
      <c r="A101" t="s">
        <v>276</v>
      </c>
      <c r="B101" t="s">
        <v>121</v>
      </c>
      <c r="C101" t="s">
        <v>277</v>
      </c>
      <c r="D101" t="s">
        <v>26</v>
      </c>
      <c r="E101" t="s">
        <v>123</v>
      </c>
      <c r="F101" t="s">
        <v>124</v>
      </c>
    </row>
    <row r="102" spans="1:6" x14ac:dyDescent="0.35">
      <c r="A102" t="s">
        <v>278</v>
      </c>
      <c r="B102" t="s">
        <v>121</v>
      </c>
      <c r="C102" t="s">
        <v>277</v>
      </c>
      <c r="D102" t="s">
        <v>26</v>
      </c>
      <c r="E102" t="s">
        <v>126</v>
      </c>
      <c r="F102" t="s">
        <v>127</v>
      </c>
    </row>
    <row r="103" spans="1:6" x14ac:dyDescent="0.35">
      <c r="A103" t="s">
        <v>279</v>
      </c>
      <c r="B103" t="s">
        <v>121</v>
      </c>
      <c r="C103" t="s">
        <v>277</v>
      </c>
      <c r="D103" t="s">
        <v>26</v>
      </c>
      <c r="E103" t="s">
        <v>129</v>
      </c>
      <c r="F103" t="s">
        <v>130</v>
      </c>
    </row>
    <row r="104" spans="1:6" x14ac:dyDescent="0.35">
      <c r="A104" t="s">
        <v>280</v>
      </c>
      <c r="B104" t="s">
        <v>121</v>
      </c>
      <c r="C104" t="s">
        <v>281</v>
      </c>
      <c r="D104" t="s">
        <v>100</v>
      </c>
      <c r="E104" t="s">
        <v>123</v>
      </c>
      <c r="F104" t="s">
        <v>124</v>
      </c>
    </row>
    <row r="105" spans="1:6" x14ac:dyDescent="0.35">
      <c r="A105" t="s">
        <v>282</v>
      </c>
      <c r="B105" t="s">
        <v>121</v>
      </c>
      <c r="C105" t="s">
        <v>281</v>
      </c>
      <c r="D105" t="s">
        <v>100</v>
      </c>
      <c r="E105" t="s">
        <v>126</v>
      </c>
      <c r="F105" t="s">
        <v>127</v>
      </c>
    </row>
    <row r="106" spans="1:6" x14ac:dyDescent="0.35">
      <c r="A106" t="s">
        <v>283</v>
      </c>
      <c r="B106" t="s">
        <v>121</v>
      </c>
      <c r="C106" t="s">
        <v>281</v>
      </c>
      <c r="D106" t="s">
        <v>100</v>
      </c>
      <c r="E106" t="s">
        <v>129</v>
      </c>
      <c r="F106" t="s">
        <v>130</v>
      </c>
    </row>
    <row r="107" spans="1:6" x14ac:dyDescent="0.35">
      <c r="A107" t="s">
        <v>284</v>
      </c>
      <c r="B107" t="s">
        <v>121</v>
      </c>
      <c r="C107" t="s">
        <v>285</v>
      </c>
      <c r="D107" t="s">
        <v>28</v>
      </c>
      <c r="E107" t="s">
        <v>123</v>
      </c>
      <c r="F107" t="s">
        <v>124</v>
      </c>
    </row>
    <row r="108" spans="1:6" x14ac:dyDescent="0.35">
      <c r="A108" t="s">
        <v>286</v>
      </c>
      <c r="B108" t="s">
        <v>121</v>
      </c>
      <c r="C108" t="s">
        <v>285</v>
      </c>
      <c r="D108" t="s">
        <v>28</v>
      </c>
      <c r="E108" t="s">
        <v>126</v>
      </c>
      <c r="F108" t="s">
        <v>127</v>
      </c>
    </row>
    <row r="109" spans="1:6" x14ac:dyDescent="0.35">
      <c r="A109" t="s">
        <v>287</v>
      </c>
      <c r="B109" t="s">
        <v>121</v>
      </c>
      <c r="C109" t="s">
        <v>285</v>
      </c>
      <c r="D109" t="s">
        <v>28</v>
      </c>
      <c r="E109" t="s">
        <v>129</v>
      </c>
      <c r="F109" t="s">
        <v>130</v>
      </c>
    </row>
    <row r="110" spans="1:6" x14ac:dyDescent="0.35">
      <c r="A110" t="s">
        <v>288</v>
      </c>
      <c r="B110" t="s">
        <v>121</v>
      </c>
      <c r="C110" t="s">
        <v>289</v>
      </c>
      <c r="D110" t="s">
        <v>29</v>
      </c>
      <c r="E110" t="s">
        <v>123</v>
      </c>
      <c r="F110" t="s">
        <v>124</v>
      </c>
    </row>
    <row r="111" spans="1:6" x14ac:dyDescent="0.35">
      <c r="A111" t="s">
        <v>290</v>
      </c>
      <c r="B111" t="s">
        <v>121</v>
      </c>
      <c r="C111" t="s">
        <v>289</v>
      </c>
      <c r="D111" t="s">
        <v>29</v>
      </c>
      <c r="E111" t="s">
        <v>126</v>
      </c>
      <c r="F111" t="s">
        <v>127</v>
      </c>
    </row>
    <row r="112" spans="1:6" x14ac:dyDescent="0.35">
      <c r="A112" t="s">
        <v>291</v>
      </c>
      <c r="B112" t="s">
        <v>121</v>
      </c>
      <c r="C112" t="s">
        <v>289</v>
      </c>
      <c r="D112" t="s">
        <v>29</v>
      </c>
      <c r="E112" t="s">
        <v>129</v>
      </c>
      <c r="F112" t="s">
        <v>130</v>
      </c>
    </row>
    <row r="113" spans="1:6" x14ac:dyDescent="0.35">
      <c r="A113" t="s">
        <v>292</v>
      </c>
      <c r="B113" t="s">
        <v>121</v>
      </c>
      <c r="C113" t="s">
        <v>293</v>
      </c>
      <c r="D113" t="s">
        <v>108</v>
      </c>
      <c r="E113" t="s">
        <v>123</v>
      </c>
      <c r="F113" t="s">
        <v>124</v>
      </c>
    </row>
    <row r="114" spans="1:6" x14ac:dyDescent="0.35">
      <c r="A114" t="s">
        <v>294</v>
      </c>
      <c r="B114" t="s">
        <v>121</v>
      </c>
      <c r="C114" t="s">
        <v>293</v>
      </c>
      <c r="D114" t="s">
        <v>108</v>
      </c>
      <c r="E114" t="s">
        <v>126</v>
      </c>
      <c r="F114" t="s">
        <v>127</v>
      </c>
    </row>
    <row r="115" spans="1:6" x14ac:dyDescent="0.35">
      <c r="A115" t="s">
        <v>295</v>
      </c>
      <c r="B115" t="s">
        <v>121</v>
      </c>
      <c r="C115" t="s">
        <v>293</v>
      </c>
      <c r="D115" t="s">
        <v>108</v>
      </c>
      <c r="E115" t="s">
        <v>129</v>
      </c>
      <c r="F115" t="s">
        <v>130</v>
      </c>
    </row>
    <row r="116" spans="1:6" x14ac:dyDescent="0.35">
      <c r="A116" t="s">
        <v>296</v>
      </c>
      <c r="B116" t="s">
        <v>121</v>
      </c>
      <c r="C116" t="s">
        <v>297</v>
      </c>
      <c r="D116" t="s">
        <v>298</v>
      </c>
      <c r="E116" t="s">
        <v>123</v>
      </c>
      <c r="F116" t="s">
        <v>124</v>
      </c>
    </row>
    <row r="117" spans="1:6" x14ac:dyDescent="0.35">
      <c r="A117" t="s">
        <v>299</v>
      </c>
      <c r="B117" t="s">
        <v>121</v>
      </c>
      <c r="C117" t="s">
        <v>297</v>
      </c>
      <c r="D117" t="s">
        <v>298</v>
      </c>
      <c r="E117" t="s">
        <v>126</v>
      </c>
      <c r="F117" t="s">
        <v>127</v>
      </c>
    </row>
    <row r="118" spans="1:6" x14ac:dyDescent="0.35">
      <c r="A118" t="s">
        <v>300</v>
      </c>
      <c r="B118" t="s">
        <v>121</v>
      </c>
      <c r="C118" t="s">
        <v>297</v>
      </c>
      <c r="D118" t="s">
        <v>298</v>
      </c>
      <c r="E118" t="s">
        <v>129</v>
      </c>
      <c r="F118" t="s">
        <v>130</v>
      </c>
    </row>
    <row r="119" spans="1:6" x14ac:dyDescent="0.35">
      <c r="A119" t="s">
        <v>301</v>
      </c>
      <c r="B119" t="s">
        <v>121</v>
      </c>
      <c r="C119" t="s">
        <v>302</v>
      </c>
      <c r="D119" t="s">
        <v>48</v>
      </c>
      <c r="E119" t="s">
        <v>123</v>
      </c>
      <c r="F119" t="s">
        <v>124</v>
      </c>
    </row>
    <row r="120" spans="1:6" x14ac:dyDescent="0.35">
      <c r="A120" t="s">
        <v>303</v>
      </c>
      <c r="B120" t="s">
        <v>121</v>
      </c>
      <c r="C120" t="s">
        <v>302</v>
      </c>
      <c r="D120" t="s">
        <v>48</v>
      </c>
      <c r="E120" t="s">
        <v>126</v>
      </c>
      <c r="F120" t="s">
        <v>127</v>
      </c>
    </row>
    <row r="121" spans="1:6" x14ac:dyDescent="0.35">
      <c r="A121" t="s">
        <v>304</v>
      </c>
      <c r="B121" t="s">
        <v>121</v>
      </c>
      <c r="C121" t="s">
        <v>302</v>
      </c>
      <c r="D121" t="s">
        <v>48</v>
      </c>
      <c r="E121" t="s">
        <v>129</v>
      </c>
      <c r="F121" t="s">
        <v>130</v>
      </c>
    </row>
    <row r="122" spans="1:6" x14ac:dyDescent="0.35">
      <c r="A122" t="s">
        <v>305</v>
      </c>
      <c r="B122" t="s">
        <v>121</v>
      </c>
      <c r="C122" t="s">
        <v>306</v>
      </c>
      <c r="D122" t="s">
        <v>31</v>
      </c>
      <c r="E122" t="s">
        <v>123</v>
      </c>
      <c r="F122" t="s">
        <v>124</v>
      </c>
    </row>
    <row r="123" spans="1:6" x14ac:dyDescent="0.35">
      <c r="A123" t="s">
        <v>307</v>
      </c>
      <c r="B123" t="s">
        <v>121</v>
      </c>
      <c r="C123" t="s">
        <v>306</v>
      </c>
      <c r="D123" t="s">
        <v>31</v>
      </c>
      <c r="E123" t="s">
        <v>126</v>
      </c>
      <c r="F123" t="s">
        <v>127</v>
      </c>
    </row>
    <row r="124" spans="1:6" x14ac:dyDescent="0.35">
      <c r="A124" t="s">
        <v>308</v>
      </c>
      <c r="B124" t="s">
        <v>121</v>
      </c>
      <c r="C124" t="s">
        <v>306</v>
      </c>
      <c r="D124" t="s">
        <v>31</v>
      </c>
      <c r="E124" t="s">
        <v>129</v>
      </c>
      <c r="F124" t="s">
        <v>130</v>
      </c>
    </row>
    <row r="125" spans="1:6" x14ac:dyDescent="0.35">
      <c r="A125" t="s">
        <v>309</v>
      </c>
      <c r="B125" t="s">
        <v>121</v>
      </c>
      <c r="C125" t="s">
        <v>310</v>
      </c>
      <c r="D125" t="s">
        <v>32</v>
      </c>
      <c r="E125" t="s">
        <v>123</v>
      </c>
      <c r="F125" t="s">
        <v>124</v>
      </c>
    </row>
    <row r="126" spans="1:6" x14ac:dyDescent="0.35">
      <c r="A126" t="s">
        <v>311</v>
      </c>
      <c r="B126" t="s">
        <v>121</v>
      </c>
      <c r="C126" t="s">
        <v>310</v>
      </c>
      <c r="D126" t="s">
        <v>32</v>
      </c>
      <c r="E126" t="s">
        <v>126</v>
      </c>
      <c r="F126" t="s">
        <v>127</v>
      </c>
    </row>
    <row r="127" spans="1:6" x14ac:dyDescent="0.35">
      <c r="A127" t="s">
        <v>312</v>
      </c>
      <c r="B127" t="s">
        <v>121</v>
      </c>
      <c r="C127" t="s">
        <v>310</v>
      </c>
      <c r="D127" t="s">
        <v>32</v>
      </c>
      <c r="E127" t="s">
        <v>129</v>
      </c>
      <c r="F127" t="s">
        <v>130</v>
      </c>
    </row>
    <row r="128" spans="1:6" x14ac:dyDescent="0.35">
      <c r="A128" t="s">
        <v>313</v>
      </c>
      <c r="B128" t="s">
        <v>121</v>
      </c>
      <c r="C128" t="s">
        <v>314</v>
      </c>
      <c r="D128" t="s">
        <v>315</v>
      </c>
      <c r="E128" t="s">
        <v>123</v>
      </c>
      <c r="F128" t="s">
        <v>124</v>
      </c>
    </row>
    <row r="129" spans="1:6" x14ac:dyDescent="0.35">
      <c r="A129" t="s">
        <v>316</v>
      </c>
      <c r="B129" t="s">
        <v>121</v>
      </c>
      <c r="C129" t="s">
        <v>314</v>
      </c>
      <c r="D129" t="s">
        <v>315</v>
      </c>
      <c r="E129" t="s">
        <v>126</v>
      </c>
      <c r="F129" t="s">
        <v>127</v>
      </c>
    </row>
    <row r="130" spans="1:6" x14ac:dyDescent="0.35">
      <c r="A130" t="s">
        <v>317</v>
      </c>
      <c r="B130" t="s">
        <v>121</v>
      </c>
      <c r="C130" t="s">
        <v>314</v>
      </c>
      <c r="D130" t="s">
        <v>315</v>
      </c>
      <c r="E130" t="s">
        <v>129</v>
      </c>
      <c r="F130" t="s">
        <v>130</v>
      </c>
    </row>
    <row r="131" spans="1:6" x14ac:dyDescent="0.35">
      <c r="A131" t="s">
        <v>318</v>
      </c>
      <c r="B131" t="s">
        <v>121</v>
      </c>
      <c r="C131" t="s">
        <v>319</v>
      </c>
      <c r="D131" t="s">
        <v>55</v>
      </c>
      <c r="E131" t="s">
        <v>123</v>
      </c>
      <c r="F131" t="s">
        <v>124</v>
      </c>
    </row>
    <row r="132" spans="1:6" x14ac:dyDescent="0.35">
      <c r="A132" t="s">
        <v>320</v>
      </c>
      <c r="B132" t="s">
        <v>121</v>
      </c>
      <c r="C132" t="s">
        <v>319</v>
      </c>
      <c r="D132" t="s">
        <v>55</v>
      </c>
      <c r="E132" t="s">
        <v>126</v>
      </c>
      <c r="F132" t="s">
        <v>127</v>
      </c>
    </row>
    <row r="133" spans="1:6" x14ac:dyDescent="0.35">
      <c r="A133" t="s">
        <v>321</v>
      </c>
      <c r="B133" t="s">
        <v>121</v>
      </c>
      <c r="C133" t="s">
        <v>319</v>
      </c>
      <c r="D133" t="s">
        <v>55</v>
      </c>
      <c r="E133" t="s">
        <v>129</v>
      </c>
      <c r="F133" t="s">
        <v>130</v>
      </c>
    </row>
    <row r="134" spans="1:6" x14ac:dyDescent="0.35">
      <c r="A134" t="s">
        <v>322</v>
      </c>
      <c r="B134" t="s">
        <v>121</v>
      </c>
      <c r="C134" t="s">
        <v>323</v>
      </c>
      <c r="D134" t="s">
        <v>33</v>
      </c>
      <c r="E134" t="s">
        <v>123</v>
      </c>
      <c r="F134" t="s">
        <v>124</v>
      </c>
    </row>
    <row r="135" spans="1:6" x14ac:dyDescent="0.35">
      <c r="A135" t="s">
        <v>324</v>
      </c>
      <c r="B135" t="s">
        <v>121</v>
      </c>
      <c r="C135" t="s">
        <v>323</v>
      </c>
      <c r="D135" t="s">
        <v>33</v>
      </c>
      <c r="E135" t="s">
        <v>126</v>
      </c>
      <c r="F135" t="s">
        <v>127</v>
      </c>
    </row>
    <row r="136" spans="1:6" x14ac:dyDescent="0.35">
      <c r="A136" t="s">
        <v>325</v>
      </c>
      <c r="B136" t="s">
        <v>121</v>
      </c>
      <c r="C136" t="s">
        <v>323</v>
      </c>
      <c r="D136" t="s">
        <v>33</v>
      </c>
      <c r="E136" t="s">
        <v>129</v>
      </c>
      <c r="F136" t="s">
        <v>130</v>
      </c>
    </row>
    <row r="137" spans="1:6" x14ac:dyDescent="0.35">
      <c r="A137" t="s">
        <v>326</v>
      </c>
      <c r="B137" t="s">
        <v>121</v>
      </c>
      <c r="C137" t="s">
        <v>327</v>
      </c>
      <c r="D137" t="s">
        <v>328</v>
      </c>
      <c r="E137" t="s">
        <v>123</v>
      </c>
      <c r="F137" t="s">
        <v>124</v>
      </c>
    </row>
    <row r="138" spans="1:6" x14ac:dyDescent="0.35">
      <c r="A138" t="s">
        <v>329</v>
      </c>
      <c r="B138" t="s">
        <v>121</v>
      </c>
      <c r="C138" t="s">
        <v>327</v>
      </c>
      <c r="D138" t="s">
        <v>328</v>
      </c>
      <c r="E138" t="s">
        <v>126</v>
      </c>
      <c r="F138" t="s">
        <v>127</v>
      </c>
    </row>
    <row r="139" spans="1:6" x14ac:dyDescent="0.35">
      <c r="A139" t="s">
        <v>330</v>
      </c>
      <c r="B139" t="s">
        <v>121</v>
      </c>
      <c r="C139" t="s">
        <v>327</v>
      </c>
      <c r="D139" t="s">
        <v>328</v>
      </c>
      <c r="E139" t="s">
        <v>129</v>
      </c>
      <c r="F139" t="s">
        <v>130</v>
      </c>
    </row>
  </sheetData>
  <autoFilter ref="A1:F139" xr:uid="{5A673E04-3101-4A6E-90E1-42862EC23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98F5D4-1E08-4E09-AF74-47F021390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annual_crops_FAO_GAEZ_data_path</vt:lpstr>
      <vt:lpstr>faogaez_yield_file_index</vt:lpstr>
      <vt:lpstr>Sheet1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2026-03-06T21:45:30Z</dcterms:modified>
</cp:coreProperties>
</file>