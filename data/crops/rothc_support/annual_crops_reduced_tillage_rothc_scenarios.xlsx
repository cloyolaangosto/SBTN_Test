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103" documentId="8_{10CA9DB5-EBAF-437F-9133-092C57B088DC}" xr6:coauthVersionLast="47" xr6:coauthVersionMax="47" xr10:uidLastSave="{BA8AF3BF-90E7-4299-87C8-6C8C50D7AA6C}"/>
  <bookViews>
    <workbookView xWindow="-110" yWindow="-110" windowWidth="19420" windowHeight="11500" xr2:uid="{5393C2E3-8FA9-4147-8B5B-2520450A0FB5}"/>
  </bookViews>
  <sheets>
    <sheet name="scenarios" sheetId="1" r:id="rId1"/>
  </sheets>
  <definedNames>
    <definedName name="_xlnm._FilterDatabase" localSheetId="0" hidden="1">scenarios!$A$1:$U$27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Q24" i="1"/>
  <c r="Q22" i="1"/>
  <c r="Q20" i="1"/>
  <c r="Q17" i="1"/>
  <c r="Q16" i="1"/>
  <c r="Q13" i="1"/>
  <c r="Q12" i="1"/>
  <c r="Q9" i="1"/>
  <c r="Q8" i="1"/>
  <c r="Q6" i="1"/>
  <c r="Q3" i="1"/>
  <c r="Q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5" i="1"/>
  <c r="G4" i="1"/>
  <c r="G3" i="1"/>
  <c r="G2" i="1"/>
</calcChain>
</file>

<file path=xl/sharedStrings.xml><?xml version="1.0" encoding="utf-8"?>
<sst xmlns="http://schemas.openxmlformats.org/spreadsheetml/2006/main" count="420" uniqueCount="150">
  <si>
    <t>crop_name</t>
  </si>
  <si>
    <t>commodity_type</t>
  </si>
  <si>
    <t>irr_yield_scaling</t>
  </si>
  <si>
    <t>practices_string_id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</si>
  <si>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</si>
  <si>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</si>
  <si>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</si>
  <si>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</si>
  <si>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</si>
  <si>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</si>
  <si>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</si>
  <si>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</si>
  <si>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</si>
  <si>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</si>
  <si>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</si>
  <si>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</si>
  <si>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force_new_file</t>
  </si>
  <si>
    <t>Barley</t>
  </si>
  <si>
    <t>annual_crop</t>
  </si>
  <si>
    <t>irr</t>
  </si>
  <si>
    <t>irr_ron_rt</t>
  </si>
  <si>
    <t>irr_roff_rt</t>
  </si>
  <si>
    <t>rf</t>
  </si>
  <si>
    <t>rf_ron_rt</t>
  </si>
  <si>
    <t>rf_roff_rt</t>
  </si>
  <si>
    <t>Cotton</t>
  </si>
  <si>
    <t>Maize</t>
  </si>
  <si>
    <t>Rapeseed</t>
  </si>
  <si>
    <t>Sorghum</t>
  </si>
  <si>
    <t>Soybean</t>
  </si>
  <si>
    <t>Sunflower</t>
  </si>
  <si>
    <t>Wheat</t>
  </si>
  <si>
    <t>irr_rt</t>
  </si>
  <si>
    <t>rf_rt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</si>
  <si>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</si>
  <si>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projects\SBTN_Test\data\land_use\FAO_GAEZ/lu_gaez_Barley_irr_roff.tif</t>
  </si>
  <si>
    <t>C:\Users\loyola\OneDrive - World Wildlife Fund, Inc\Documents\203. Python projects\SBTN_Test\data\crops\rothc_support\FAO_GAEZ\Barley_irr_ron_pet_monthly.tif</t>
  </si>
  <si>
    <t>C:\Users\loyola\OneDrive - World Wildlife Fund, Inc\Documents\203. Python projects\SBTN_Test\data\crops\rothc_support\FAO_GAEZ\Barley_irr_ron_pc_monthly.tif</t>
  </si>
  <si>
    <t>C:\Users\loyola\OneDrive - World Wildlife Fund, Inc\Documents\203. Python projects\SBTN_Test\data\crops\rothc_support\FAO_GAEZ\Barley_irr_ron_irr_monthly.tif</t>
  </si>
  <si>
    <t>C:\Users\loyola\OneDrive - World Wildlife Fund, Inc\Documents\203. Python projects\SBTN_Test\data\crops\rothc_support\FAO_GAEZ\Barley_irr_roff_pet_monthly.tif</t>
  </si>
  <si>
    <t>C:\Users\loyola\OneDrive - World Wildlife Fund, Inc\Documents\203. Python projects\SBTN_Test\data\crops\rothc_support\FAO_GAEZ\Barley_irr_roff_pc_monthly.tif</t>
  </si>
  <si>
    <t>C:\Users\loyola\OneDrive - World Wildlife Fund, Inc\Documents\203. Python projects\SBTN_Test\data\crops\rothc_support\FAO_GAEZ\Barley_irr_roff_irr_monthly.tif</t>
  </si>
  <si>
    <t>ylds_crop_raster</t>
  </si>
  <si>
    <t>ylds_all_fp</t>
  </si>
  <si>
    <t>ylds_irr_fp</t>
  </si>
  <si>
    <t>ylds_rf_fp</t>
  </si>
  <si>
    <t>ylds_src</t>
  </si>
  <si>
    <t>outlier_strategy</t>
  </si>
  <si>
    <t>percentile_bound</t>
  </si>
  <si>
    <t>apply_local_zscore</t>
  </si>
  <si>
    <t>apply_soc_clip</t>
  </si>
  <si>
    <t>soc_global_percentile_cap</t>
  </si>
  <si>
    <t>max_annual_soc_gain</t>
  </si>
  <si>
    <t>max_soc_tc_ha</t>
  </si>
  <si>
    <t>yield_global_percentile_cap</t>
  </si>
  <si>
    <t>C:\Users\loyola\OneDrive - World Wildlife Fund, Inc\Documents\203. Python projects\SBTN_Test\data\crops\FAO_GAEZ\YIELDS\GAEZ-V5.RES06-YLD.BRL.WST.tif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</si>
  <si>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</si>
  <si>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</si>
  <si>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GAEZ</t>
  </si>
  <si>
    <t>log_winsor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</si>
  <si>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</si>
  <si>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</si>
  <si>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projects\SBTN_Test\data\crops\rothc_support\FAO_GAEZ\Carrot_irr_pet_monthly.tif</t>
  </si>
  <si>
    <t>C:\Users\loyola\OneDrive - World Wildlife Fund, Inc\Documents\203. Python projects\SBTN_Test\data\crops\rothc_support\FAO_GAEZ\Carrot_irr_pc_monthly.tif</t>
  </si>
  <si>
    <t>C:\Users\loyola\OneDrive - World Wildlife Fund, Inc\Documents\203. Python projects\SBTN_Test\data\crops\rothc_support\FAO_GAEZ\Carrot_irr_irr_monthly.tif</t>
  </si>
  <si>
    <t>C:\Users\loyola\OneDrive - World Wildlife Fund, Inc\Documents\203. Python projects\SBTN_Test\data\crops\FAO_GAEZ\YIELDS\GAEZ-V5.RES06-YLD.RTS.WST.tif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</si>
  <si>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</si>
  <si>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</si>
  <si>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</si>
  <si>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projects\SBTN_Test\data\crops\rothc_support\FAO_GAEZ\Cotton_rf_pet_monthly.tif</t>
  </si>
  <si>
    <t>C:\Users\loyola\OneDrive - World Wildlife Fund, Inc\Documents\203. Python projects\SBTN_Test\data\crops\rothc_support\FAO_GAEZ\Cotton_rf_pc_monthly.tif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</si>
  <si>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</si>
  <si>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</si>
  <si>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</si>
  <si>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</si>
  <si>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projects\SBTN_Test\data\crops\rothc_support\FAO_GAEZ\Maize_irr_ron_pet_monthly.tif</t>
  </si>
  <si>
    <t>C:\Users\loyola\OneDrive - World Wildlife Fund, Inc\Documents\203. Python projects\SBTN_Test\data\crops\rothc_support\FAO_GAEZ\Maize_irr_ron_pc_monthly.tif</t>
  </si>
  <si>
    <t>C:\Users\loyola\OneDrive - World Wildlife Fund, Inc\Documents\203. Python projects\SBTN_Test\data\crops\rothc_support\FAO_GAEZ\Maize_irr_ron_irr_monthly.tif</t>
  </si>
  <si>
    <t>C:\Users\loyola\OneDrive - World Wildlife Fund, Inc\Documents\203. Python projects\SBTN_Test\data\crops\FAO_GAEZ\YIELDS\GAEZ-V5.RES06-YLD.MZE.WST.tif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</si>
  <si>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</si>
  <si>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</si>
  <si>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</si>
  <si>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projects\SBTN_Test\data\crops\rothc_support\FAO_GAEZ\Maize_irr_roff_pet_monthly.tif</t>
  </si>
  <si>
    <t>C:\Users\loyola\OneDrive - World Wildlife Fund, Inc\Documents\203. Python projects\SBTN_Test\data\crops\rothc_support\FAO_GAEZ\Maize_irr_roff_pc_monthly.tif</t>
  </si>
  <si>
    <t>C:\Users\loyola\OneDrive - World Wildlife Fund, Inc\Documents\203. Python projects\SBTN_Test\data\crops\rothc_support\FAO_GAEZ\Maize_irr_roff_irr_monthly.tif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</si>
  <si>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</si>
  <si>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projects\SBTN_Test\data\crops\rothc_support\FAO_GAEZ\Maize_rf_ron_pet_monthly.tif</t>
  </si>
  <si>
    <t>C:\Users\loyola\OneDrive - World Wildlife Fund, Inc\Documents\203. Python projects\SBTN_Test\data\crops\rothc_support\FAO_GAEZ\Maize_rf_ron_pc_monthly.tif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</si>
  <si>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</si>
  <si>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projects\SBTN_Test\data\crops\rothc_support\FAO_GAEZ\Rapeseed_irr_ron_pet_monthly.tif</t>
  </si>
  <si>
    <t>C:\Users\loyola\OneDrive - World Wildlife Fund, Inc\Documents\203. Python projects\SBTN_Test\data\crops\rothc_support\FAO_GAEZ\Rapeseed_irr_ron_pc_monthly.tif</t>
  </si>
  <si>
    <t>C:\Users\loyola\OneDrive - World Wildlife Fund, Inc\Documents\203. Python projects\SBTN_Test\data\crops\rothc_support\FAO_GAEZ\Rapeseed_irr_ron_irr_monthly.tif</t>
  </si>
  <si>
    <t>C:\Users\loyola\OneDrive - World Wildlife Fund, Inc\Documents\203. Python projects\SBTN_Test\data\crops\FAO_GAEZ\YIELDS\GAEZ-V5.RES06-YLD.RSD.WST.tif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</si>
  <si>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</si>
  <si>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</si>
  <si>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projects\SBTN_Test\data\crops\rothc_support\FAO_GAEZ\Rapeseed_irr_roff_pet_monthly.tif</t>
  </si>
  <si>
    <t>C:\Users\loyola\OneDrive - World Wildlife Fund, Inc\Documents\203. Python projects\SBTN_Test\data\crops\rothc_support\FAO_GAEZ\Rapeseed_irr_roff_pc_monthly.tif</t>
  </si>
  <si>
    <t>C:\Users\loyola\OneDrive - World Wildlife Fund, Inc\Documents\203. Python projects\SBTN_Test\data\crops\rothc_support\FAO_GAEZ\Rapeseed_irr_roff_irr_monthly.tif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</si>
  <si>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</si>
  <si>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projects\SBTN_Test\data\crops\rothc_support\FAO_GAEZ\Rapeseed_rf_ron_pet_monthly.tif</t>
  </si>
  <si>
    <t>C:\Users\loyola\OneDrive - World Wildlife Fund, Inc\Documents\203. Python projects\SBTN_Test\data\crops\rothc_support\FAO_GAEZ\Rapeseed_rf_ron_pc_monthly.tif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</si>
  <si>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</si>
  <si>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projects\SBTN_Test\data\crops\rothc_support\FAO_GAEZ\Sorghum_irr_ron_pet_monthly.tif</t>
  </si>
  <si>
    <t>C:\Users\loyola\OneDrive - World Wildlife Fund, Inc\Documents\203. Python projects\SBTN_Test\data\crops\rothc_support\FAO_GAEZ\Sorghum_irr_ron_pc_monthly.tif</t>
  </si>
  <si>
    <t>C:\Users\loyola\OneDrive - World Wildlife Fund, Inc\Documents\203. Python projects\SBTN_Test\data\crops\rothc_support\FAO_GAEZ\Sorghum_irr_ron_irr_monthly.tif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</si>
  <si>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</si>
  <si>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</si>
  <si>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</si>
  <si>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</si>
  <si>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projects\SBTN_Test\data\crops\rothc_support\FAO_GAEZ\Sorghum_irr_roff_pet_monthly.tif</t>
  </si>
  <si>
    <t>C:\Users\loyola\OneDrive - World Wildlife Fund, Inc\Documents\203. Python projects\SBTN_Test\data\crops\rothc_support\FAO_GAEZ\Sorghum_irr_roff_pc_monthly.tif</t>
  </si>
  <si>
    <t>C:\Users\loyola\OneDrive - World Wildlife Fund, Inc\Documents\203. Python projects\SBTN_Test\data\crops\rothc_support\FAO_GAEZ\Sorghum_irr_roff_irr_monthly.tif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</si>
  <si>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</si>
  <si>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projects\SBTN_Test\data\crops\rothc_support\FAO_GAEZ\Soybean_irr_pet_monthly.tif</t>
  </si>
  <si>
    <t>C:\Users\loyola\OneDrive - World Wildlife Fund, Inc\Documents\203. Python projects\SBTN_Test\data\crops\rothc_support\FAO_GAEZ\Soybean_irr_pc_monthly.tif</t>
  </si>
  <si>
    <t>C:\Users\loyola\OneDrive - World Wildlife Fund, Inc\Documents\203. Python projects\SBTN_Test\data\crops\rothc_support\FAO_GAEZ\Soybean_irr_irr_monthly.tif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</si>
  <si>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</si>
  <si>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</si>
  <si>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</si>
  <si>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</si>
  <si>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projects\SBTN_Test\data\crops\rothc_support\FAO_GAEZ\Soybean_rf_pet_monthly.tif</t>
  </si>
  <si>
    <t>C:\Users\loyola\OneDrive - World Wildlife Fund, Inc\Documents\203. Python projects\SBTN_Test\data\crops\rothc_support\FAO_GAEZ\Soybean_rf_pc_monthly.tif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</si>
  <si>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</si>
  <si>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projects\SBTN_Test\data\crops\rothc_support\FAO_GAEZ\Sunflower_irr_pet_monthly.tif</t>
  </si>
  <si>
    <t>C:\Users\loyola\OneDrive - World Wildlife Fund, Inc\Documents\203. Python projects\SBTN_Test\data\crops\rothc_support\FAO_GAEZ\Sunflower_irr_pc_monthly.tif</t>
  </si>
  <si>
    <t>C:\Users\loyola\OneDrive - World Wildlife Fund, Inc\Documents\203. Python projects\SBTN_Test\data\crops\rothc_support\FAO_GAEZ\Sunflower_irr_irr_monthly.tif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</si>
  <si>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</si>
  <si>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</si>
  <si>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</si>
  <si>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</si>
  <si>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projects\SBTN_Test\data\crops\rothc_support\FAO_GAEZ\Sunflower_rf_pet_monthly.tif</t>
  </si>
  <si>
    <t>C:\Users\loyola\OneDrive - World Wildlife Fund, Inc\Documents\203. Python projects\SBTN_Test\data\crops\rothc_support\FAO_GAEZ\Sunflower_rf_pc_monthly.tif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</si>
  <si>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</si>
  <si>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projects\SBTN_Test\data\crops\rothc_support\FAO_GAEZ\Wheat_irr_ron_pet_monthly.tif</t>
  </si>
  <si>
    <t>C:\Users\loyola\OneDrive - World Wildlife Fund, Inc\Documents\203. Python projects\SBTN_Test\data\crops\rothc_support\FAO_GAEZ\Wheat_irr_ron_pc_monthly.tif</t>
  </si>
  <si>
    <t>C:\Users\loyola\OneDrive - World Wildlife Fund, Inc\Documents\203. Python projects\SBTN_Test\data\crops\rothc_support\FAO_GAEZ\Wheat_irr_ron_irr_monthly.tif</t>
  </si>
  <si>
    <t>C:\Users\loyola\OneDrive - World Wildlife Fund, Inc\Documents\203. Python projects\SBTN_Test\data\crops\FAO_GAEZ\YIELDS\GAEZ-V5.RES06-YLD.WHE.WST.tif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</si>
  <si>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</si>
  <si>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</si>
  <si>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</si>
  <si>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projects\SBTN_Test\data\crops\rothc_support\FAO_GAEZ\Wheat_irr_roff_pet_monthly.tif</t>
  </si>
  <si>
    <t>C:\Users\loyola\OneDrive - World Wildlife Fund, Inc\Documents\203. Python projects\SBTN_Test\data\crops\rothc_support\FAO_GAEZ\Wheat_irr_roff_pc_monthly.tif</t>
  </si>
  <si>
    <t>C:\Users\loyola\OneDrive - World Wildlife Fund, Inc\Documents\203. Python projects\SBTN_Test\data\crops\rothc_support\FAO_GAEZ\Wheat_irr_roff_irr_monthly.tif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</si>
  <si>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</si>
  <si>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projects\SBTN_Test\data\crops\rothc_support\FAO_GAEZ\Wheat_rf_ron_pet_monthly.tif</t>
  </si>
  <si>
    <t>C:\Users\loyola\OneDrive - World Wildlife Fund, Inc\Documents\203. Python projects\SBTN_Test\data\crops\rothc_support\FAO_GAEZ\Wheat_rf_ron_pc_monthly.tif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</si>
  <si>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</si>
  <si>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projects\SBTN_Test\data\crops\rothc_support\FAO_GAEZ\Barley_rf_ron_pet_monthly.tif</t>
  </si>
  <si>
    <t>C:\Users\loyola\OneDrive - World Wildlife Fund, Inc\Documents\203. Python projects\SBTN_Test\data\crops\rothc_support\FAO_GAEZ\Barley_rf_ron_pc_monthly.tif</t>
  </si>
  <si>
    <t>../LEAFs/SOC/rasters_clipped/reduced_tillage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</si>
</sst>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FF0000"/>
      <name val="Consolas"/>
      <family val="3"/>
    </font>
    <font>
      <sz val="7"/>
      <color rgb="FFA9B1D6"/>
      <name val="Consolas"/>
      <family val="3"/>
    </font>
    <font>
      <i/>
      <sz val="7"/>
      <color rgb="FFFF7EDB"/>
      <name val="Consolas"/>
      <family val="3"/>
    </font>
    <font>
      <sz val="7"/>
      <color rgb="FFFF9E64"/>
      <name val="Consolas"/>
      <family val="3"/>
    </font>
    <font>
      <sz val="7"/>
      <color rgb="FF89DD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3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CCF2-0471-428A-B57D-47F27A4FBA50}">
  <dimension ref="A1:AD31"/>
  <sheetViews>
    <sheetView tabSelected="1" workbookViewId="0">
      <selection activeCell="F2" sqref="F2:F27"/>
    </sheetView>
  </sheetViews>
  <sheetFormatPr defaultRowHeight="14.5" x14ac:dyDescent="0.35"/>
  <cols>
    <col min="2" max="2" width="14.81640625" bestFit="1" customWidth="1"/>
    <col min="3" max="3" width="14.453125" bestFit="1" customWidth="1"/>
    <col min="4" max="4" width="16.7265625" bestFit="1" customWidth="1"/>
    <col min="6" max="6" width="23.1796875" customWidth="1"/>
    <col min="7" max="7" width="48.453125" bestFit="1" customWidth="1"/>
    <col min="17" max="17" width="133.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16</v>
      </c>
      <c r="V1" s="1" t="s">
        <v>46</v>
      </c>
      <c r="W1" s="1" t="s">
        <v>47</v>
      </c>
      <c r="X1" s="7" t="s">
        <v>48</v>
      </c>
      <c r="Y1" s="1" t="s">
        <v>49</v>
      </c>
      <c r="Z1" s="8" t="s">
        <v>50</v>
      </c>
      <c r="AA1" s="8" t="s">
        <v>51</v>
      </c>
      <c r="AB1" s="8" t="s">
        <v>52</v>
      </c>
      <c r="AC1" s="8" t="s">
        <v>53</v>
      </c>
      <c r="AD1" s="8" t="s">
        <v>54</v>
      </c>
    </row>
    <row r="2" spans="1:30" x14ac:dyDescent="0.35">
      <c r="A2" t="s">
        <v>17</v>
      </c>
      <c r="B2" t="s">
        <v>18</v>
      </c>
      <c r="C2" t="s">
        <v>19</v>
      </c>
      <c r="D2" t="s">
        <v>20</v>
      </c>
      <c r="E2">
        <v>14</v>
      </c>
      <c r="F2" t="s">
        <v>149</v>
      </c>
      <c r="G2" t="str">
        <f>+"RothC results for year 2030 for "&amp;A2&amp;"_"&amp;D2&amp;" in ton C/ha"</f>
        <v>RothC results for year 2030 for Barley_irr_ron_rt in ton C/ha</v>
      </c>
      <c r="H2" s="3" t="s">
        <v>34</v>
      </c>
      <c r="I2" s="3" t="s">
        <v>36</v>
      </c>
      <c r="J2" s="3" t="s">
        <v>37</v>
      </c>
      <c r="K2" s="5" t="s">
        <v>38</v>
      </c>
      <c r="N2" t="b">
        <v>1</v>
      </c>
      <c r="O2" t="b">
        <v>0</v>
      </c>
      <c r="P2">
        <v>100</v>
      </c>
      <c r="Q2" t="str">
        <f>+S2</f>
        <v>C:\Users\loyola\OneDrive - World Wildlife Fund, Inc\Documents\203. Python projects\SBTN_Test\data\crops\FAO_GAEZ\YIELDS\GAEZ-V5.RES06-YLD.BRL.WSI.tif</v>
      </c>
      <c r="R2" s="4" t="s">
        <v>55</v>
      </c>
      <c r="S2" s="4" t="s">
        <v>56</v>
      </c>
      <c r="T2" s="6" t="s">
        <v>57</v>
      </c>
      <c r="U2" t="b">
        <v>0</v>
      </c>
      <c r="V2" s="9" t="s">
        <v>58</v>
      </c>
      <c r="W2" t="s">
        <v>59</v>
      </c>
      <c r="X2" t="s">
        <v>60</v>
      </c>
      <c r="Y2" t="b">
        <v>1</v>
      </c>
      <c r="Z2" t="b">
        <v>1</v>
      </c>
      <c r="AA2">
        <v>99.5</v>
      </c>
      <c r="AD2">
        <v>99.5</v>
      </c>
    </row>
    <row r="3" spans="1:30" x14ac:dyDescent="0.35">
      <c r="A3" t="s">
        <v>17</v>
      </c>
      <c r="B3" t="s">
        <v>18</v>
      </c>
      <c r="C3" t="s">
        <v>19</v>
      </c>
      <c r="D3" t="s">
        <v>21</v>
      </c>
      <c r="E3">
        <v>14</v>
      </c>
      <c r="F3" t="s">
        <v>149</v>
      </c>
      <c r="G3" t="str">
        <f>+"RothC results for year 2030 for "&amp;A3&amp;"_"&amp;D3&amp;" in ton C/ha"</f>
        <v>RothC results for year 2030 for Barley_irr_roff_rt in ton C/ha</v>
      </c>
      <c r="H3" s="4" t="s">
        <v>35</v>
      </c>
      <c r="I3" s="4" t="s">
        <v>39</v>
      </c>
      <c r="J3" s="4" t="s">
        <v>40</v>
      </c>
      <c r="K3" s="6" t="s">
        <v>41</v>
      </c>
      <c r="N3" t="b">
        <v>1</v>
      </c>
      <c r="O3" t="b">
        <v>0</v>
      </c>
      <c r="P3">
        <v>100</v>
      </c>
      <c r="Q3" t="str">
        <f t="shared" ref="Q3" si="0">+S3</f>
        <v>C:\Users\loyola\OneDrive - World Wildlife Fund, Inc\Documents\203. Python projects\SBTN_Test\data\crops\FAO_GAEZ\YIELDS\GAEZ-V5.RES06-YLD.BRL.WSI.tif</v>
      </c>
      <c r="R3" s="4" t="s">
        <v>55</v>
      </c>
      <c r="S3" s="4" t="s">
        <v>56</v>
      </c>
      <c r="T3" s="6" t="s">
        <v>57</v>
      </c>
      <c r="U3" t="b">
        <v>0</v>
      </c>
      <c r="V3" s="9" t="s">
        <v>58</v>
      </c>
      <c r="W3" t="s">
        <v>59</v>
      </c>
      <c r="X3" t="s">
        <v>60</v>
      </c>
      <c r="Y3" t="b">
        <v>1</v>
      </c>
      <c r="Z3" t="b">
        <v>1</v>
      </c>
      <c r="AA3">
        <v>99.5</v>
      </c>
      <c r="AD3">
        <v>99.5</v>
      </c>
    </row>
    <row r="4" spans="1:30" x14ac:dyDescent="0.35">
      <c r="A4" t="s">
        <v>17</v>
      </c>
      <c r="B4" t="s">
        <v>18</v>
      </c>
      <c r="C4" t="s">
        <v>22</v>
      </c>
      <c r="D4" t="s">
        <v>23</v>
      </c>
      <c r="E4">
        <v>14</v>
      </c>
      <c r="F4" t="s">
        <v>149</v>
      </c>
      <c r="G4" t="str">
        <f>+"RothC results for year 2030 for "&amp;A4&amp;"_"&amp;D4&amp;" in ton C/ha"</f>
        <v>RothC results for year 2030 for Barley_rf_ron_rt in ton C/ha</v>
      </c>
      <c r="H4" s="3" t="s">
        <v>146</v>
      </c>
      <c r="I4" s="3" t="s">
        <v>147</v>
      </c>
      <c r="J4" s="5" t="s">
        <v>148</v>
      </c>
      <c r="N4" t="b">
        <v>1</v>
      </c>
      <c r="O4" t="b">
        <v>0</v>
      </c>
      <c r="P4">
        <v>100</v>
      </c>
      <c r="Q4" s="6" t="s">
        <v>57</v>
      </c>
      <c r="R4" s="4" t="s">
        <v>55</v>
      </c>
      <c r="S4" s="4" t="s">
        <v>56</v>
      </c>
      <c r="T4" s="6" t="s">
        <v>57</v>
      </c>
      <c r="U4" t="b">
        <v>0</v>
      </c>
      <c r="V4" t="s">
        <v>58</v>
      </c>
      <c r="W4" t="s">
        <v>59</v>
      </c>
      <c r="X4" t="s">
        <v>60</v>
      </c>
      <c r="Y4" t="b">
        <v>1</v>
      </c>
      <c r="Z4" t="b">
        <v>1</v>
      </c>
      <c r="AA4">
        <v>99.5</v>
      </c>
      <c r="AD4">
        <v>99.5</v>
      </c>
    </row>
    <row r="5" spans="1:30" x14ac:dyDescent="0.35">
      <c r="A5" t="s">
        <v>17</v>
      </c>
      <c r="B5" t="s">
        <v>18</v>
      </c>
      <c r="C5" t="s">
        <v>22</v>
      </c>
      <c r="D5" t="s">
        <v>24</v>
      </c>
      <c r="E5">
        <v>14</v>
      </c>
      <c r="F5" t="s">
        <v>149</v>
      </c>
      <c r="G5" t="str">
        <f>+"RothC results for year 2030 for "&amp;A5&amp;"_"&amp;D5&amp;" in ton C/ha"</f>
        <v>RothC results for year 2030 for Barley_rf_roff_rt in ton C/ha</v>
      </c>
      <c r="H5" s="3" t="s">
        <v>146</v>
      </c>
      <c r="I5" s="3" t="s">
        <v>147</v>
      </c>
      <c r="J5" s="5" t="s">
        <v>148</v>
      </c>
      <c r="N5" t="b">
        <v>1</v>
      </c>
      <c r="O5" t="b">
        <v>0</v>
      </c>
      <c r="P5">
        <v>100</v>
      </c>
      <c r="Q5" s="6" t="s">
        <v>57</v>
      </c>
      <c r="R5" s="4" t="s">
        <v>55</v>
      </c>
      <c r="S5" s="4" t="s">
        <v>56</v>
      </c>
      <c r="T5" s="6" t="s">
        <v>57</v>
      </c>
      <c r="U5" t="b">
        <v>0</v>
      </c>
      <c r="V5" t="s">
        <v>58</v>
      </c>
      <c r="W5" t="s">
        <v>59</v>
      </c>
      <c r="X5" t="s">
        <v>60</v>
      </c>
      <c r="Y5" t="b">
        <v>1</v>
      </c>
      <c r="Z5" t="b">
        <v>1</v>
      </c>
      <c r="AA5">
        <v>99.5</v>
      </c>
      <c r="AD5">
        <v>99.5</v>
      </c>
    </row>
    <row r="6" spans="1:30" x14ac:dyDescent="0.35">
      <c r="A6" t="s">
        <v>25</v>
      </c>
      <c r="B6" t="s">
        <v>18</v>
      </c>
      <c r="C6" t="s">
        <v>19</v>
      </c>
      <c r="D6" t="s">
        <v>32</v>
      </c>
      <c r="E6">
        <v>14</v>
      </c>
      <c r="F6" t="s">
        <v>149</v>
      </c>
      <c r="G6" t="str">
        <f t="shared" ref="G6:G27" si="1">+"RothC results for year 2030 for "&amp;A6&amp;"_"&amp;D6&amp;" in ton C/ha"</f>
        <v>RothC results for year 2030 for Cotton_irr_rt in ton C/ha</v>
      </c>
      <c r="H6" s="4" t="s">
        <v>61</v>
      </c>
      <c r="I6" s="4" t="s">
        <v>62</v>
      </c>
      <c r="J6" s="4" t="s">
        <v>63</v>
      </c>
      <c r="K6" s="6" t="s">
        <v>64</v>
      </c>
      <c r="N6" t="b">
        <v>1</v>
      </c>
      <c r="O6" t="b">
        <v>0</v>
      </c>
      <c r="P6">
        <v>100</v>
      </c>
      <c r="Q6" t="str">
        <f t="shared" ref="Q5:Q6" si="2">+S6</f>
        <v>C:\Users\loyola\OneDrive - World Wildlife Fund, Inc\Documents\203. Python projects\SBTN_Test\data\crops\FAO_GAEZ\YIELDS\GAEZ-V5.RES06-YLD.RTS.WSI.tif</v>
      </c>
      <c r="R6" s="4" t="s">
        <v>65</v>
      </c>
      <c r="S6" s="4" t="s">
        <v>66</v>
      </c>
      <c r="T6" s="6" t="s">
        <v>67</v>
      </c>
      <c r="U6" t="b">
        <v>0</v>
      </c>
      <c r="V6" s="9" t="s">
        <v>58</v>
      </c>
      <c r="W6" t="s">
        <v>59</v>
      </c>
      <c r="X6" t="s">
        <v>60</v>
      </c>
      <c r="Y6" t="b">
        <v>1</v>
      </c>
      <c r="Z6" t="b">
        <v>1</v>
      </c>
      <c r="AA6">
        <v>99.5</v>
      </c>
      <c r="AD6">
        <v>99.5</v>
      </c>
    </row>
    <row r="7" spans="1:30" x14ac:dyDescent="0.35">
      <c r="A7" t="s">
        <v>25</v>
      </c>
      <c r="B7" t="s">
        <v>18</v>
      </c>
      <c r="C7" t="s">
        <v>22</v>
      </c>
      <c r="D7" t="s">
        <v>33</v>
      </c>
      <c r="E7">
        <v>14</v>
      </c>
      <c r="F7" t="s">
        <v>149</v>
      </c>
      <c r="G7" t="str">
        <f t="shared" si="1"/>
        <v>RothC results for year 2030 for Cotton_rf_rt in ton C/ha</v>
      </c>
      <c r="H7" s="4" t="s">
        <v>68</v>
      </c>
      <c r="I7" s="4" t="s">
        <v>69</v>
      </c>
      <c r="J7" s="6" t="s">
        <v>70</v>
      </c>
      <c r="K7" s="6"/>
      <c r="N7" t="b">
        <v>1</v>
      </c>
      <c r="O7" t="b">
        <v>0</v>
      </c>
      <c r="P7">
        <v>100</v>
      </c>
      <c r="Q7" s="5" t="s">
        <v>71</v>
      </c>
      <c r="R7" s="3" t="s">
        <v>72</v>
      </c>
      <c r="S7" s="3" t="s">
        <v>73</v>
      </c>
      <c r="T7" s="5" t="s">
        <v>71</v>
      </c>
      <c r="U7" t="b">
        <v>0</v>
      </c>
      <c r="V7" s="9" t="s">
        <v>58</v>
      </c>
      <c r="W7" t="s">
        <v>59</v>
      </c>
      <c r="X7" t="s">
        <v>60</v>
      </c>
      <c r="Y7" t="b">
        <v>1</v>
      </c>
      <c r="Z7" t="b">
        <v>1</v>
      </c>
      <c r="AA7">
        <v>99.5</v>
      </c>
      <c r="AD7">
        <v>99.5</v>
      </c>
    </row>
    <row r="8" spans="1:30" x14ac:dyDescent="0.35">
      <c r="A8" t="s">
        <v>26</v>
      </c>
      <c r="B8" t="s">
        <v>18</v>
      </c>
      <c r="C8" t="s">
        <v>19</v>
      </c>
      <c r="D8" t="s">
        <v>20</v>
      </c>
      <c r="E8">
        <v>14</v>
      </c>
      <c r="F8" t="s">
        <v>149</v>
      </c>
      <c r="G8" t="str">
        <f t="shared" si="1"/>
        <v>RothC results for year 2030 for Maize_irr_ron_rt in ton C/ha</v>
      </c>
      <c r="H8" s="3" t="s">
        <v>74</v>
      </c>
      <c r="I8" s="3" t="s">
        <v>75</v>
      </c>
      <c r="J8" s="3" t="s">
        <v>76</v>
      </c>
      <c r="K8" s="5" t="s">
        <v>77</v>
      </c>
      <c r="N8" t="b">
        <v>1</v>
      </c>
      <c r="O8" t="b">
        <v>0</v>
      </c>
      <c r="P8">
        <v>100</v>
      </c>
      <c r="Q8" t="str">
        <f t="shared" ref="Q8:Q9" si="3">+S8</f>
        <v>C:\Users\loyola\OneDrive - World Wildlife Fund, Inc\Documents\203. Python projects\SBTN_Test\data\crops\FAO_GAEZ\YIELDS\GAEZ-V5.RES06-YLD.MZE.WSI.tif</v>
      </c>
      <c r="R8" s="4" t="s">
        <v>78</v>
      </c>
      <c r="S8" s="4" t="s">
        <v>79</v>
      </c>
      <c r="T8" s="6" t="s">
        <v>80</v>
      </c>
      <c r="U8" t="b">
        <v>0</v>
      </c>
      <c r="V8" s="9" t="s">
        <v>58</v>
      </c>
      <c r="W8" t="s">
        <v>59</v>
      </c>
      <c r="X8" t="s">
        <v>60</v>
      </c>
      <c r="Y8" t="b">
        <v>1</v>
      </c>
      <c r="Z8" t="b">
        <v>1</v>
      </c>
      <c r="AA8">
        <v>99.5</v>
      </c>
      <c r="AD8">
        <v>99.5</v>
      </c>
    </row>
    <row r="9" spans="1:30" x14ac:dyDescent="0.35">
      <c r="A9" t="s">
        <v>26</v>
      </c>
      <c r="B9" t="s">
        <v>18</v>
      </c>
      <c r="C9" t="s">
        <v>19</v>
      </c>
      <c r="D9" t="s">
        <v>21</v>
      </c>
      <c r="E9">
        <v>14</v>
      </c>
      <c r="F9" t="s">
        <v>149</v>
      </c>
      <c r="G9" t="str">
        <f t="shared" si="1"/>
        <v>RothC results for year 2030 for Maize_irr_roff_rt in ton C/ha</v>
      </c>
      <c r="H9" s="4" t="s">
        <v>81</v>
      </c>
      <c r="I9" s="4" t="s">
        <v>82</v>
      </c>
      <c r="J9" s="4" t="s">
        <v>83</v>
      </c>
      <c r="K9" s="6" t="s">
        <v>84</v>
      </c>
      <c r="N9" t="b">
        <v>1</v>
      </c>
      <c r="O9" t="b">
        <v>0</v>
      </c>
      <c r="P9">
        <v>100</v>
      </c>
      <c r="Q9" t="str">
        <f t="shared" si="3"/>
        <v>C:\Users\loyola\OneDrive - World Wildlife Fund, Inc\Documents\203. Python projects\SBTN_Test\data\crops\FAO_GAEZ\YIELDS\GAEZ-V5.RES06-YLD.MZE.WSI.tif</v>
      </c>
      <c r="R9" s="4" t="s">
        <v>78</v>
      </c>
      <c r="S9" s="4" t="s">
        <v>79</v>
      </c>
      <c r="T9" s="6" t="s">
        <v>80</v>
      </c>
      <c r="U9" t="b">
        <v>0</v>
      </c>
      <c r="V9" s="9" t="s">
        <v>58</v>
      </c>
      <c r="W9" t="s">
        <v>59</v>
      </c>
      <c r="X9" t="s">
        <v>60</v>
      </c>
      <c r="Y9" t="b">
        <v>1</v>
      </c>
      <c r="Z9" t="b">
        <v>1</v>
      </c>
      <c r="AA9">
        <v>99.5</v>
      </c>
      <c r="AD9">
        <v>99.5</v>
      </c>
    </row>
    <row r="10" spans="1:30" x14ac:dyDescent="0.35">
      <c r="A10" t="s">
        <v>26</v>
      </c>
      <c r="B10" t="s">
        <v>18</v>
      </c>
      <c r="C10" t="s">
        <v>22</v>
      </c>
      <c r="D10" t="s">
        <v>23</v>
      </c>
      <c r="E10">
        <v>14</v>
      </c>
      <c r="F10" t="s">
        <v>149</v>
      </c>
      <c r="G10" t="str">
        <f t="shared" si="1"/>
        <v>RothC results for year 2030 for Maize_rf_ron_rt in ton C/ha</v>
      </c>
      <c r="H10" s="4" t="s">
        <v>85</v>
      </c>
      <c r="I10" s="4" t="s">
        <v>86</v>
      </c>
      <c r="J10" s="6" t="s">
        <v>87</v>
      </c>
      <c r="N10" t="b">
        <v>1</v>
      </c>
      <c r="O10" t="b">
        <v>0</v>
      </c>
      <c r="P10">
        <v>100</v>
      </c>
      <c r="Q10" s="6" t="s">
        <v>80</v>
      </c>
      <c r="R10" s="4" t="s">
        <v>78</v>
      </c>
      <c r="S10" s="4" t="s">
        <v>79</v>
      </c>
      <c r="T10" s="6" t="s">
        <v>80</v>
      </c>
      <c r="U10" t="b">
        <v>0</v>
      </c>
      <c r="V10" s="9" t="s">
        <v>58</v>
      </c>
      <c r="W10" t="s">
        <v>59</v>
      </c>
      <c r="X10" t="s">
        <v>60</v>
      </c>
      <c r="Y10" t="b">
        <v>1</v>
      </c>
      <c r="Z10" t="b">
        <v>1</v>
      </c>
      <c r="AA10">
        <v>99.5</v>
      </c>
      <c r="AD10">
        <v>99.5</v>
      </c>
    </row>
    <row r="11" spans="1:30" x14ac:dyDescent="0.35">
      <c r="A11" t="s">
        <v>26</v>
      </c>
      <c r="B11" t="s">
        <v>18</v>
      </c>
      <c r="C11" t="s">
        <v>22</v>
      </c>
      <c r="D11" t="s">
        <v>24</v>
      </c>
      <c r="E11">
        <v>14</v>
      </c>
      <c r="F11" t="s">
        <v>149</v>
      </c>
      <c r="G11" t="str">
        <f t="shared" si="1"/>
        <v>RothC results for year 2030 for Maize_rf_roff_rt in ton C/ha</v>
      </c>
      <c r="H11" s="4" t="s">
        <v>85</v>
      </c>
      <c r="I11" s="4" t="s">
        <v>86</v>
      </c>
      <c r="J11" s="6" t="s">
        <v>87</v>
      </c>
      <c r="N11" t="b">
        <v>1</v>
      </c>
      <c r="O11" t="b">
        <v>0</v>
      </c>
      <c r="P11">
        <v>100</v>
      </c>
      <c r="Q11" s="6" t="s">
        <v>80</v>
      </c>
      <c r="R11" s="4" t="s">
        <v>78</v>
      </c>
      <c r="S11" s="4" t="s">
        <v>79</v>
      </c>
      <c r="T11" s="6" t="s">
        <v>80</v>
      </c>
      <c r="U11" t="b">
        <v>0</v>
      </c>
      <c r="V11" s="9" t="s">
        <v>58</v>
      </c>
      <c r="W11" t="s">
        <v>59</v>
      </c>
      <c r="X11" t="s">
        <v>60</v>
      </c>
      <c r="Y11" t="b">
        <v>1</v>
      </c>
      <c r="Z11" t="b">
        <v>1</v>
      </c>
      <c r="AA11">
        <v>99.5</v>
      </c>
      <c r="AD11">
        <v>99.5</v>
      </c>
    </row>
    <row r="12" spans="1:30" x14ac:dyDescent="0.35">
      <c r="A12" t="s">
        <v>27</v>
      </c>
      <c r="B12" t="s">
        <v>18</v>
      </c>
      <c r="C12" t="s">
        <v>19</v>
      </c>
      <c r="D12" t="s">
        <v>20</v>
      </c>
      <c r="E12">
        <v>14</v>
      </c>
      <c r="F12" t="s">
        <v>149</v>
      </c>
      <c r="G12" t="str">
        <f t="shared" si="1"/>
        <v>RothC results for year 2030 for Rapeseed_irr_ron_rt in ton C/ha</v>
      </c>
      <c r="H12" s="3" t="s">
        <v>88</v>
      </c>
      <c r="I12" s="3" t="s">
        <v>89</v>
      </c>
      <c r="J12" s="3" t="s">
        <v>90</v>
      </c>
      <c r="K12" s="5" t="s">
        <v>91</v>
      </c>
      <c r="N12" t="b">
        <v>1</v>
      </c>
      <c r="O12" t="b">
        <v>0</v>
      </c>
      <c r="P12">
        <v>100</v>
      </c>
      <c r="Q12" t="str">
        <f t="shared" ref="Q12:Q13" si="4">+S12</f>
        <v>C:\Users\loyola\OneDrive - World Wildlife Fund, Inc\Documents\203. Python projects\SBTN_Test\data\crops\FAO_GAEZ\YIELDS\GAEZ-V5.RES06-YLD.RSD.WSI.tif</v>
      </c>
      <c r="R12" s="3" t="s">
        <v>92</v>
      </c>
      <c r="S12" s="3" t="s">
        <v>93</v>
      </c>
      <c r="T12" s="5" t="s">
        <v>94</v>
      </c>
      <c r="U12" t="b">
        <v>0</v>
      </c>
      <c r="V12" s="9" t="s">
        <v>58</v>
      </c>
      <c r="W12" t="s">
        <v>59</v>
      </c>
      <c r="X12" t="s">
        <v>60</v>
      </c>
      <c r="Y12" t="b">
        <v>1</v>
      </c>
      <c r="Z12" t="b">
        <v>1</v>
      </c>
      <c r="AA12">
        <v>99.5</v>
      </c>
      <c r="AD12">
        <v>99.5</v>
      </c>
    </row>
    <row r="13" spans="1:30" x14ac:dyDescent="0.35">
      <c r="A13" t="s">
        <v>27</v>
      </c>
      <c r="B13" t="s">
        <v>18</v>
      </c>
      <c r="C13" t="s">
        <v>19</v>
      </c>
      <c r="D13" t="s">
        <v>21</v>
      </c>
      <c r="E13">
        <v>14</v>
      </c>
      <c r="F13" t="s">
        <v>149</v>
      </c>
      <c r="G13" t="str">
        <f t="shared" si="1"/>
        <v>RothC results for year 2030 for Rapeseed_irr_roff_rt in ton C/ha</v>
      </c>
      <c r="H13" s="4" t="s">
        <v>88</v>
      </c>
      <c r="I13" s="4" t="s">
        <v>95</v>
      </c>
      <c r="J13" s="4" t="s">
        <v>96</v>
      </c>
      <c r="K13" s="6" t="s">
        <v>97</v>
      </c>
      <c r="N13" t="b">
        <v>1</v>
      </c>
      <c r="O13" t="b">
        <v>0</v>
      </c>
      <c r="P13">
        <v>100</v>
      </c>
      <c r="Q13" t="str">
        <f t="shared" si="4"/>
        <v>C:\Users\loyola\OneDrive - World Wildlife Fund, Inc\Documents\203. Python projects\SBTN_Test\data\crops\FAO_GAEZ\YIELDS\GAEZ-V5.RES06-YLD.RSD.WSI.tif</v>
      </c>
      <c r="R13" s="3" t="s">
        <v>92</v>
      </c>
      <c r="S13" s="3" t="s">
        <v>93</v>
      </c>
      <c r="T13" s="5" t="s">
        <v>94</v>
      </c>
      <c r="U13" t="b">
        <v>0</v>
      </c>
      <c r="V13" s="9" t="s">
        <v>58</v>
      </c>
      <c r="W13" t="s">
        <v>59</v>
      </c>
      <c r="X13" t="s">
        <v>60</v>
      </c>
      <c r="Y13" t="b">
        <v>1</v>
      </c>
      <c r="Z13" t="b">
        <v>1</v>
      </c>
      <c r="AA13">
        <v>99.5</v>
      </c>
      <c r="AD13">
        <v>99.5</v>
      </c>
    </row>
    <row r="14" spans="1:30" x14ac:dyDescent="0.35">
      <c r="A14" t="s">
        <v>27</v>
      </c>
      <c r="B14" t="s">
        <v>18</v>
      </c>
      <c r="C14" t="s">
        <v>22</v>
      </c>
      <c r="D14" t="s">
        <v>23</v>
      </c>
      <c r="E14">
        <v>14</v>
      </c>
      <c r="F14" t="s">
        <v>149</v>
      </c>
      <c r="G14" t="str">
        <f t="shared" si="1"/>
        <v>RothC results for year 2030 for Rapeseed_rf_ron_rt in ton C/ha</v>
      </c>
      <c r="H14" s="4" t="s">
        <v>98</v>
      </c>
      <c r="I14" s="4" t="s">
        <v>99</v>
      </c>
      <c r="J14" s="6" t="s">
        <v>100</v>
      </c>
      <c r="N14" t="b">
        <v>1</v>
      </c>
      <c r="O14" t="b">
        <v>0</v>
      </c>
      <c r="P14">
        <v>100</v>
      </c>
      <c r="Q14" s="5" t="s">
        <v>94</v>
      </c>
      <c r="R14" s="3" t="s">
        <v>92</v>
      </c>
      <c r="S14" s="3" t="s">
        <v>93</v>
      </c>
      <c r="T14" s="5" t="s">
        <v>94</v>
      </c>
      <c r="U14" t="b">
        <v>0</v>
      </c>
      <c r="V14" s="9" t="s">
        <v>58</v>
      </c>
      <c r="W14" t="s">
        <v>59</v>
      </c>
      <c r="X14" t="s">
        <v>60</v>
      </c>
      <c r="Y14" t="b">
        <v>1</v>
      </c>
      <c r="Z14" t="b">
        <v>1</v>
      </c>
      <c r="AA14">
        <v>99.5</v>
      </c>
      <c r="AD14">
        <v>99.5</v>
      </c>
    </row>
    <row r="15" spans="1:30" x14ac:dyDescent="0.35">
      <c r="A15" t="s">
        <v>27</v>
      </c>
      <c r="B15" t="s">
        <v>18</v>
      </c>
      <c r="C15" t="s">
        <v>22</v>
      </c>
      <c r="D15" t="s">
        <v>24</v>
      </c>
      <c r="E15">
        <v>14</v>
      </c>
      <c r="F15" t="s">
        <v>149</v>
      </c>
      <c r="G15" t="str">
        <f t="shared" si="1"/>
        <v>RothC results for year 2030 for Rapeseed_rf_roff_rt in ton C/ha</v>
      </c>
      <c r="H15" s="4" t="s">
        <v>98</v>
      </c>
      <c r="I15" s="4" t="s">
        <v>99</v>
      </c>
      <c r="J15" s="6" t="s">
        <v>100</v>
      </c>
      <c r="N15" t="b">
        <v>1</v>
      </c>
      <c r="O15" t="b">
        <v>0</v>
      </c>
      <c r="P15">
        <v>100</v>
      </c>
      <c r="Q15" s="5" t="s">
        <v>94</v>
      </c>
      <c r="R15" s="3" t="s">
        <v>92</v>
      </c>
      <c r="S15" s="3" t="s">
        <v>93</v>
      </c>
      <c r="T15" s="5" t="s">
        <v>94</v>
      </c>
      <c r="U15" t="b">
        <v>0</v>
      </c>
      <c r="V15" s="9" t="s">
        <v>58</v>
      </c>
      <c r="W15" t="s">
        <v>59</v>
      </c>
      <c r="X15" t="s">
        <v>60</v>
      </c>
      <c r="Y15" t="b">
        <v>1</v>
      </c>
      <c r="Z15" t="b">
        <v>1</v>
      </c>
      <c r="AA15">
        <v>99.5</v>
      </c>
      <c r="AD15">
        <v>99.5</v>
      </c>
    </row>
    <row r="16" spans="1:30" x14ac:dyDescent="0.35">
      <c r="A16" t="s">
        <v>28</v>
      </c>
      <c r="B16" t="s">
        <v>18</v>
      </c>
      <c r="C16" t="s">
        <v>19</v>
      </c>
      <c r="D16" t="s">
        <v>20</v>
      </c>
      <c r="E16">
        <v>14</v>
      </c>
      <c r="F16" t="s">
        <v>149</v>
      </c>
      <c r="G16" t="str">
        <f t="shared" si="1"/>
        <v>RothC results for year 2030 for Sorghum_irr_ron_rt in ton C/ha</v>
      </c>
      <c r="H16" s="3" t="s">
        <v>101</v>
      </c>
      <c r="I16" s="3" t="s">
        <v>102</v>
      </c>
      <c r="J16" s="3" t="s">
        <v>103</v>
      </c>
      <c r="K16" s="5" t="s">
        <v>104</v>
      </c>
      <c r="N16" t="b">
        <v>1</v>
      </c>
      <c r="O16" t="b">
        <v>0</v>
      </c>
      <c r="P16">
        <v>100</v>
      </c>
      <c r="Q16" t="str">
        <f t="shared" ref="Q16:Q17" si="5">+S16</f>
        <v>C:\Users\loyola\OneDrive - World Wildlife Fund, Inc\Documents\203. Python projects\SBTN_Test\data\crops\FAO_GAEZ\YIELDS\GAEZ-V5.RES06-YLD.SRG.WSI.tif</v>
      </c>
      <c r="R16" s="3" t="s">
        <v>105</v>
      </c>
      <c r="S16" s="3" t="s">
        <v>106</v>
      </c>
      <c r="T16" s="5" t="s">
        <v>107</v>
      </c>
      <c r="U16" t="b">
        <v>0</v>
      </c>
      <c r="V16" s="9" t="s">
        <v>58</v>
      </c>
      <c r="W16" t="s">
        <v>59</v>
      </c>
      <c r="X16" t="s">
        <v>60</v>
      </c>
      <c r="Y16" t="b">
        <v>1</v>
      </c>
      <c r="Z16" t="b">
        <v>1</v>
      </c>
      <c r="AA16">
        <v>99.5</v>
      </c>
      <c r="AD16">
        <v>99.5</v>
      </c>
    </row>
    <row r="17" spans="1:30" x14ac:dyDescent="0.35">
      <c r="A17" t="s">
        <v>28</v>
      </c>
      <c r="B17" t="s">
        <v>18</v>
      </c>
      <c r="C17" t="s">
        <v>19</v>
      </c>
      <c r="D17" t="s">
        <v>21</v>
      </c>
      <c r="E17">
        <v>14</v>
      </c>
      <c r="F17" t="s">
        <v>149</v>
      </c>
      <c r="G17" t="str">
        <f t="shared" si="1"/>
        <v>RothC results for year 2030 for Sorghum_irr_roff_rt in ton C/ha</v>
      </c>
      <c r="H17" s="4" t="s">
        <v>108</v>
      </c>
      <c r="I17" s="4" t="s">
        <v>109</v>
      </c>
      <c r="J17" s="4" t="s">
        <v>110</v>
      </c>
      <c r="K17" s="6" t="s">
        <v>111</v>
      </c>
      <c r="N17" t="b">
        <v>1</v>
      </c>
      <c r="O17" t="b">
        <v>0</v>
      </c>
      <c r="P17">
        <v>100</v>
      </c>
      <c r="Q17" t="str">
        <f t="shared" si="5"/>
        <v>C:\Users\loyola\OneDrive - World Wildlife Fund, Inc\Documents\203. Python projects\SBTN_Test\data\crops\FAO_GAEZ\YIELDS\GAEZ-V5.RES06-YLD.SRG.WSI.tif</v>
      </c>
      <c r="R17" s="3" t="s">
        <v>105</v>
      </c>
      <c r="S17" s="3" t="s">
        <v>106</v>
      </c>
      <c r="T17" s="5" t="s">
        <v>107</v>
      </c>
      <c r="U17" t="b">
        <v>0</v>
      </c>
      <c r="V17" s="9" t="s">
        <v>58</v>
      </c>
      <c r="W17" t="s">
        <v>59</v>
      </c>
      <c r="X17" t="s">
        <v>60</v>
      </c>
      <c r="Y17" t="b">
        <v>1</v>
      </c>
      <c r="Z17" t="b">
        <v>1</v>
      </c>
      <c r="AA17">
        <v>99.5</v>
      </c>
      <c r="AD17">
        <v>99.5</v>
      </c>
    </row>
    <row r="18" spans="1:30" x14ac:dyDescent="0.35">
      <c r="A18" t="s">
        <v>28</v>
      </c>
      <c r="B18" t="s">
        <v>18</v>
      </c>
      <c r="C18" t="s">
        <v>22</v>
      </c>
      <c r="D18" t="s">
        <v>23</v>
      </c>
      <c r="E18">
        <v>14</v>
      </c>
      <c r="F18" t="s">
        <v>149</v>
      </c>
      <c r="G18" t="str">
        <f t="shared" si="1"/>
        <v>RothC results for year 2030 for Sorghum_rf_ron_rt in ton C/ha</v>
      </c>
      <c r="H18" s="3" t="s">
        <v>101</v>
      </c>
      <c r="I18" s="3" t="s">
        <v>109</v>
      </c>
      <c r="J18" s="5" t="s">
        <v>110</v>
      </c>
      <c r="N18" t="b">
        <v>1</v>
      </c>
      <c r="O18" t="b">
        <v>0</v>
      </c>
      <c r="P18">
        <v>100</v>
      </c>
      <c r="Q18" s="5" t="s">
        <v>107</v>
      </c>
      <c r="R18" s="3" t="s">
        <v>105</v>
      </c>
      <c r="S18" s="3" t="s">
        <v>106</v>
      </c>
      <c r="T18" s="5" t="s">
        <v>107</v>
      </c>
      <c r="U18" t="b">
        <v>0</v>
      </c>
      <c r="V18" s="9" t="s">
        <v>58</v>
      </c>
      <c r="W18" t="s">
        <v>59</v>
      </c>
      <c r="X18" t="s">
        <v>60</v>
      </c>
      <c r="Y18" t="b">
        <v>1</v>
      </c>
      <c r="Z18" t="b">
        <v>1</v>
      </c>
      <c r="AA18">
        <v>99.5</v>
      </c>
      <c r="AD18">
        <v>99.5</v>
      </c>
    </row>
    <row r="19" spans="1:30" x14ac:dyDescent="0.35">
      <c r="A19" t="s">
        <v>28</v>
      </c>
      <c r="B19" t="s">
        <v>18</v>
      </c>
      <c r="C19" t="s">
        <v>22</v>
      </c>
      <c r="D19" t="s">
        <v>24</v>
      </c>
      <c r="E19">
        <v>14</v>
      </c>
      <c r="F19" t="s">
        <v>149</v>
      </c>
      <c r="G19" t="str">
        <f t="shared" si="1"/>
        <v>RothC results for year 2030 for Sorghum_rf_roff_rt in ton C/ha</v>
      </c>
      <c r="H19" s="3" t="s">
        <v>108</v>
      </c>
      <c r="I19" s="3" t="s">
        <v>109</v>
      </c>
      <c r="J19" s="5" t="s">
        <v>110</v>
      </c>
      <c r="N19" t="b">
        <v>1</v>
      </c>
      <c r="O19" t="b">
        <v>0</v>
      </c>
      <c r="P19">
        <v>100</v>
      </c>
      <c r="Q19" s="5" t="s">
        <v>107</v>
      </c>
      <c r="R19" s="3" t="s">
        <v>105</v>
      </c>
      <c r="S19" s="3" t="s">
        <v>106</v>
      </c>
      <c r="T19" s="5" t="s">
        <v>107</v>
      </c>
      <c r="U19" t="b">
        <v>0</v>
      </c>
      <c r="V19" s="9" t="s">
        <v>58</v>
      </c>
      <c r="W19" t="s">
        <v>59</v>
      </c>
      <c r="X19" t="s">
        <v>60</v>
      </c>
      <c r="Y19" t="b">
        <v>1</v>
      </c>
      <c r="Z19" t="b">
        <v>1</v>
      </c>
      <c r="AA19">
        <v>99.5</v>
      </c>
      <c r="AD19">
        <v>99.5</v>
      </c>
    </row>
    <row r="20" spans="1:30" x14ac:dyDescent="0.35">
      <c r="A20" t="s">
        <v>29</v>
      </c>
      <c r="B20" t="s">
        <v>18</v>
      </c>
      <c r="C20" t="s">
        <v>19</v>
      </c>
      <c r="D20" t="s">
        <v>32</v>
      </c>
      <c r="E20">
        <v>14</v>
      </c>
      <c r="F20" t="s">
        <v>149</v>
      </c>
      <c r="G20" t="str">
        <f t="shared" si="1"/>
        <v>RothC results for year 2030 for Soybean_irr_rt in ton C/ha</v>
      </c>
      <c r="H20" s="3" t="s">
        <v>112</v>
      </c>
      <c r="I20" s="3" t="s">
        <v>113</v>
      </c>
      <c r="J20" s="3" t="s">
        <v>114</v>
      </c>
      <c r="K20" s="5" t="s">
        <v>115</v>
      </c>
      <c r="N20" t="b">
        <v>1</v>
      </c>
      <c r="O20" t="b">
        <v>0</v>
      </c>
      <c r="P20">
        <v>100</v>
      </c>
      <c r="Q20" t="str">
        <f t="shared" ref="Q20" si="6">+S20</f>
        <v>C:\Users\loyola\OneDrive - World Wildlife Fund, Inc\Documents\203. Python projects\SBTN_Test\data\crops\FAO_GAEZ\YIELDS\GAEZ-V5.RES06-YLD.SOY.WSI.tif</v>
      </c>
      <c r="R20" s="4" t="s">
        <v>116</v>
      </c>
      <c r="S20" s="4" t="s">
        <v>117</v>
      </c>
      <c r="T20" s="6" t="s">
        <v>118</v>
      </c>
      <c r="U20" t="b">
        <v>0</v>
      </c>
      <c r="V20" s="9" t="s">
        <v>58</v>
      </c>
      <c r="W20" t="s">
        <v>59</v>
      </c>
      <c r="X20" t="s">
        <v>60</v>
      </c>
      <c r="Y20" t="b">
        <v>1</v>
      </c>
      <c r="Z20" t="b">
        <v>1</v>
      </c>
      <c r="AA20">
        <v>99.5</v>
      </c>
      <c r="AD20">
        <v>99.5</v>
      </c>
    </row>
    <row r="21" spans="1:30" x14ac:dyDescent="0.35">
      <c r="A21" t="s">
        <v>29</v>
      </c>
      <c r="B21" t="s">
        <v>18</v>
      </c>
      <c r="C21" t="s">
        <v>22</v>
      </c>
      <c r="D21" t="s">
        <v>33</v>
      </c>
      <c r="E21">
        <v>14</v>
      </c>
      <c r="F21" t="s">
        <v>149</v>
      </c>
      <c r="G21" t="str">
        <f t="shared" si="1"/>
        <v>RothC results for year 2030 for Soybean_rf_rt in ton C/ha</v>
      </c>
      <c r="H21" s="3" t="s">
        <v>119</v>
      </c>
      <c r="I21" s="3" t="s">
        <v>120</v>
      </c>
      <c r="J21" s="5" t="s">
        <v>121</v>
      </c>
      <c r="N21" t="b">
        <v>1</v>
      </c>
      <c r="O21" t="b">
        <v>0</v>
      </c>
      <c r="P21">
        <v>100</v>
      </c>
      <c r="Q21" s="6" t="s">
        <v>118</v>
      </c>
      <c r="R21" s="4" t="s">
        <v>116</v>
      </c>
      <c r="S21" s="4" t="s">
        <v>117</v>
      </c>
      <c r="T21" s="6" t="s">
        <v>118</v>
      </c>
      <c r="U21" t="b">
        <v>0</v>
      </c>
      <c r="V21" t="s">
        <v>58</v>
      </c>
      <c r="W21" t="s">
        <v>59</v>
      </c>
      <c r="X21" t="s">
        <v>60</v>
      </c>
      <c r="Y21" t="b">
        <v>1</v>
      </c>
      <c r="Z21" t="b">
        <v>1</v>
      </c>
      <c r="AA21">
        <v>99.5</v>
      </c>
      <c r="AD21">
        <v>99.5</v>
      </c>
    </row>
    <row r="22" spans="1:30" x14ac:dyDescent="0.35">
      <c r="A22" t="s">
        <v>30</v>
      </c>
      <c r="B22" t="s">
        <v>18</v>
      </c>
      <c r="C22" t="s">
        <v>19</v>
      </c>
      <c r="D22" t="s">
        <v>32</v>
      </c>
      <c r="E22">
        <v>14</v>
      </c>
      <c r="F22" t="s">
        <v>149</v>
      </c>
      <c r="G22" t="str">
        <f t="shared" si="1"/>
        <v>RothC results for year 2030 for Sunflower_irr_rt in ton C/ha</v>
      </c>
      <c r="H22" s="3" t="s">
        <v>122</v>
      </c>
      <c r="I22" s="3" t="s">
        <v>123</v>
      </c>
      <c r="J22" s="3" t="s">
        <v>124</v>
      </c>
      <c r="K22" s="5" t="s">
        <v>125</v>
      </c>
      <c r="N22" t="b">
        <v>1</v>
      </c>
      <c r="O22" t="b">
        <v>0</v>
      </c>
      <c r="P22">
        <v>100</v>
      </c>
      <c r="Q22" t="str">
        <f t="shared" ref="Q22" si="7">+S22</f>
        <v>C:\Users\loyola\OneDrive - World Wildlife Fund, Inc\Documents\203. Python projects\SBTN_Test\data\crops\FAO_GAEZ\YIELDS\GAEZ-V5.RES06-YLD.SFL.WSI.tif</v>
      </c>
      <c r="R22" s="3" t="s">
        <v>126</v>
      </c>
      <c r="S22" s="3" t="s">
        <v>127</v>
      </c>
      <c r="T22" s="5" t="s">
        <v>128</v>
      </c>
      <c r="U22" t="b">
        <v>0</v>
      </c>
      <c r="V22" s="9" t="s">
        <v>58</v>
      </c>
      <c r="W22" t="s">
        <v>59</v>
      </c>
      <c r="X22" t="s">
        <v>60</v>
      </c>
      <c r="Y22" t="b">
        <v>1</v>
      </c>
      <c r="Z22" t="b">
        <v>1</v>
      </c>
      <c r="AA22">
        <v>99.5</v>
      </c>
      <c r="AD22">
        <v>99.5</v>
      </c>
    </row>
    <row r="23" spans="1:30" x14ac:dyDescent="0.35">
      <c r="A23" t="s">
        <v>30</v>
      </c>
      <c r="B23" t="s">
        <v>18</v>
      </c>
      <c r="C23" t="s">
        <v>22</v>
      </c>
      <c r="D23" t="s">
        <v>24</v>
      </c>
      <c r="E23">
        <v>14</v>
      </c>
      <c r="F23" t="s">
        <v>149</v>
      </c>
      <c r="G23" t="str">
        <f t="shared" si="1"/>
        <v>RothC results for year 2030 for Sunflower_rf_roff_rt in ton C/ha</v>
      </c>
      <c r="H23" s="3" t="s">
        <v>129</v>
      </c>
      <c r="I23" s="3" t="s">
        <v>130</v>
      </c>
      <c r="J23" s="5" t="s">
        <v>131</v>
      </c>
      <c r="N23" t="b">
        <v>1</v>
      </c>
      <c r="O23" t="b">
        <v>0</v>
      </c>
      <c r="P23">
        <v>100</v>
      </c>
      <c r="Q23" s="5" t="s">
        <v>128</v>
      </c>
      <c r="R23" s="3" t="s">
        <v>126</v>
      </c>
      <c r="S23" s="3" t="s">
        <v>127</v>
      </c>
      <c r="T23" s="5" t="s">
        <v>128</v>
      </c>
      <c r="U23" t="b">
        <v>0</v>
      </c>
      <c r="V23" t="s">
        <v>58</v>
      </c>
      <c r="W23" t="s">
        <v>59</v>
      </c>
      <c r="X23" t="s">
        <v>60</v>
      </c>
      <c r="Y23" t="b">
        <v>1</v>
      </c>
      <c r="Z23" t="b">
        <v>1</v>
      </c>
      <c r="AA23">
        <v>99.5</v>
      </c>
      <c r="AD23">
        <v>99.5</v>
      </c>
    </row>
    <row r="24" spans="1:30" x14ac:dyDescent="0.35">
      <c r="A24" t="s">
        <v>31</v>
      </c>
      <c r="B24" t="s">
        <v>18</v>
      </c>
      <c r="C24" t="s">
        <v>19</v>
      </c>
      <c r="D24" t="s">
        <v>20</v>
      </c>
      <c r="E24">
        <v>14</v>
      </c>
      <c r="F24" t="s">
        <v>149</v>
      </c>
      <c r="G24" t="str">
        <f t="shared" si="1"/>
        <v>RothC results for year 2030 for Wheat_irr_ron_rt in ton C/ha</v>
      </c>
      <c r="H24" s="3" t="s">
        <v>132</v>
      </c>
      <c r="I24" s="3" t="s">
        <v>133</v>
      </c>
      <c r="J24" s="3" t="s">
        <v>134</v>
      </c>
      <c r="K24" s="5" t="s">
        <v>135</v>
      </c>
      <c r="N24" t="b">
        <v>1</v>
      </c>
      <c r="O24" t="b">
        <v>0</v>
      </c>
      <c r="P24">
        <v>100</v>
      </c>
      <c r="Q24" t="str">
        <f t="shared" ref="Q24:Q25" si="8">+S24</f>
        <v>C:\Users\loyola\OneDrive - World Wildlife Fund, Inc\Documents\203. Python projects\SBTN_Test\data\crops\FAO_GAEZ\YIELDS\GAEZ-V5.RES06-YLD.WHE.WSI.tif</v>
      </c>
      <c r="R24" s="3" t="s">
        <v>136</v>
      </c>
      <c r="S24" s="3" t="s">
        <v>137</v>
      </c>
      <c r="T24" s="5" t="s">
        <v>138</v>
      </c>
      <c r="U24" t="b">
        <v>0</v>
      </c>
      <c r="V24" s="9" t="s">
        <v>58</v>
      </c>
      <c r="W24" t="s">
        <v>59</v>
      </c>
      <c r="X24" t="s">
        <v>60</v>
      </c>
      <c r="Y24" t="b">
        <v>1</v>
      </c>
      <c r="Z24" t="b">
        <v>1</v>
      </c>
      <c r="AA24">
        <v>99.5</v>
      </c>
      <c r="AD24">
        <v>99.5</v>
      </c>
    </row>
    <row r="25" spans="1:30" x14ac:dyDescent="0.35">
      <c r="A25" t="s">
        <v>31</v>
      </c>
      <c r="B25" t="s">
        <v>18</v>
      </c>
      <c r="C25" t="s">
        <v>19</v>
      </c>
      <c r="D25" t="s">
        <v>21</v>
      </c>
      <c r="E25">
        <v>14</v>
      </c>
      <c r="F25" t="s">
        <v>149</v>
      </c>
      <c r="G25" t="str">
        <f t="shared" si="1"/>
        <v>RothC results for year 2030 for Wheat_irr_roff_rt in ton C/ha</v>
      </c>
      <c r="H25" s="4" t="s">
        <v>139</v>
      </c>
      <c r="I25" s="4" t="s">
        <v>140</v>
      </c>
      <c r="J25" s="4" t="s">
        <v>141</v>
      </c>
      <c r="K25" s="6" t="s">
        <v>142</v>
      </c>
      <c r="N25" t="b">
        <v>1</v>
      </c>
      <c r="O25" t="b">
        <v>0</v>
      </c>
      <c r="P25">
        <v>100</v>
      </c>
      <c r="Q25" t="str">
        <f t="shared" si="8"/>
        <v>C:\Users\loyola\OneDrive - World Wildlife Fund, Inc\Documents\203. Python projects\SBTN_Test\data\crops\FAO_GAEZ\YIELDS\GAEZ-V5.RES06-YLD.WHE.WSI.tif</v>
      </c>
      <c r="R25" s="3" t="s">
        <v>136</v>
      </c>
      <c r="S25" s="3" t="s">
        <v>137</v>
      </c>
      <c r="T25" s="5" t="s">
        <v>138</v>
      </c>
      <c r="U25" t="b">
        <v>0</v>
      </c>
      <c r="V25" s="9" t="s">
        <v>58</v>
      </c>
      <c r="W25" t="s">
        <v>59</v>
      </c>
      <c r="X25" t="s">
        <v>60</v>
      </c>
      <c r="Y25" t="b">
        <v>1</v>
      </c>
      <c r="Z25" t="b">
        <v>1</v>
      </c>
      <c r="AA25">
        <v>99.5</v>
      </c>
      <c r="AD25">
        <v>99.5</v>
      </c>
    </row>
    <row r="26" spans="1:30" x14ac:dyDescent="0.35">
      <c r="A26" t="s">
        <v>31</v>
      </c>
      <c r="B26" t="s">
        <v>18</v>
      </c>
      <c r="C26" t="s">
        <v>22</v>
      </c>
      <c r="D26" t="s">
        <v>23</v>
      </c>
      <c r="E26">
        <v>14</v>
      </c>
      <c r="F26" t="s">
        <v>149</v>
      </c>
      <c r="G26" t="str">
        <f t="shared" si="1"/>
        <v>RothC results for year 2030 for Wheat_rf_ron_rt in ton C/ha</v>
      </c>
      <c r="H26" s="3" t="s">
        <v>143</v>
      </c>
      <c r="I26" s="3" t="s">
        <v>144</v>
      </c>
      <c r="J26" s="5" t="s">
        <v>145</v>
      </c>
      <c r="N26" t="b">
        <v>1</v>
      </c>
      <c r="O26" t="b">
        <v>0</v>
      </c>
      <c r="P26">
        <v>100</v>
      </c>
      <c r="Q26" s="5" t="s">
        <v>138</v>
      </c>
      <c r="R26" s="3" t="s">
        <v>136</v>
      </c>
      <c r="S26" s="3" t="s">
        <v>137</v>
      </c>
      <c r="T26" s="5" t="s">
        <v>138</v>
      </c>
      <c r="U26" t="b">
        <v>0</v>
      </c>
      <c r="V26" t="s">
        <v>58</v>
      </c>
      <c r="W26" t="s">
        <v>59</v>
      </c>
      <c r="X26" t="s">
        <v>60</v>
      </c>
      <c r="Y26" t="b">
        <v>1</v>
      </c>
      <c r="Z26" t="b">
        <v>1</v>
      </c>
      <c r="AA26">
        <v>99.5</v>
      </c>
      <c r="AD26">
        <v>99.5</v>
      </c>
    </row>
    <row r="27" spans="1:30" x14ac:dyDescent="0.35">
      <c r="A27" t="s">
        <v>31</v>
      </c>
      <c r="B27" t="s">
        <v>18</v>
      </c>
      <c r="C27" t="s">
        <v>22</v>
      </c>
      <c r="D27" t="s">
        <v>24</v>
      </c>
      <c r="E27">
        <v>14</v>
      </c>
      <c r="F27" t="s">
        <v>149</v>
      </c>
      <c r="G27" t="str">
        <f t="shared" si="1"/>
        <v>RothC results for year 2030 for Wheat_rf_roff_rt in ton C/ha</v>
      </c>
      <c r="H27" s="3" t="s">
        <v>143</v>
      </c>
      <c r="I27" s="3" t="s">
        <v>144</v>
      </c>
      <c r="J27" s="5" t="s">
        <v>145</v>
      </c>
      <c r="N27" t="b">
        <v>1</v>
      </c>
      <c r="O27" t="b">
        <v>0</v>
      </c>
      <c r="P27">
        <v>100</v>
      </c>
      <c r="Q27" s="5" t="s">
        <v>138</v>
      </c>
      <c r="R27" s="3" t="s">
        <v>136</v>
      </c>
      <c r="S27" s="3" t="s">
        <v>137</v>
      </c>
      <c r="T27" s="5" t="s">
        <v>138</v>
      </c>
      <c r="U27" t="b">
        <v>0</v>
      </c>
      <c r="V27" t="s">
        <v>58</v>
      </c>
      <c r="W27" t="s">
        <v>59</v>
      </c>
      <c r="X27" t="s">
        <v>60</v>
      </c>
      <c r="Y27" t="b">
        <v>1</v>
      </c>
      <c r="Z27" t="b">
        <v>1</v>
      </c>
      <c r="AA27">
        <v>99.5</v>
      </c>
      <c r="AD27">
        <v>99.5</v>
      </c>
    </row>
    <row r="28" spans="1:30" x14ac:dyDescent="0.35">
      <c r="A28" s="2"/>
    </row>
    <row r="29" spans="1:30" x14ac:dyDescent="0.35">
      <c r="A29" s="2"/>
    </row>
    <row r="30" spans="1:30" x14ac:dyDescent="0.35">
      <c r="A30" s="2"/>
    </row>
    <row r="31" spans="1:30" x14ac:dyDescent="0.35">
      <c r="A31" s="2"/>
    </row>
  </sheetData>
  <autoFilter ref="A1:U27" xr:uid="{0A18CCF2-0471-428A-B57D-47F27A4FBA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2026-01-06T17:46:11Z</dcterms:created>
  <dcterms:modified xsi:type="dcterms:W3CDTF">2026-03-16T16:24:33Z</dcterms:modified>
</cp:coreProperties>
</file>