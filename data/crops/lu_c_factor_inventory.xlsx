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236" documentId="8_{AA2EB21E-9C36-413E-A92A-3D12D76AAA96}" xr6:coauthVersionLast="47" xr6:coauthVersionMax="47" xr10:uidLastSave="{D5721246-14B3-4A99-B1EB-AC12F47ADEC9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2" l="1"/>
  <c r="G42" i="2"/>
  <c r="G80" i="2" s="1"/>
  <c r="G41" i="2"/>
  <c r="G78" i="2" s="1"/>
  <c r="G40" i="2"/>
  <c r="G77" i="2" s="1"/>
  <c r="G39" i="2"/>
  <c r="G76" i="2" s="1"/>
  <c r="G38" i="2"/>
  <c r="G75" i="2" s="1"/>
  <c r="G37" i="2"/>
  <c r="G74" i="2" s="1"/>
  <c r="G36" i="2"/>
  <c r="G73" i="2" s="1"/>
  <c r="G35" i="2"/>
  <c r="G72" i="2" s="1"/>
  <c r="G34" i="2"/>
  <c r="G33" i="2"/>
  <c r="G70" i="2" s="1"/>
  <c r="G32" i="2"/>
  <c r="G69" i="2" s="1"/>
  <c r="G31" i="2"/>
  <c r="G30" i="2"/>
  <c r="G67" i="2" s="1"/>
  <c r="G29" i="2"/>
  <c r="G66" i="2" s="1"/>
  <c r="G28" i="2"/>
  <c r="G65" i="2" s="1"/>
  <c r="G27" i="2"/>
  <c r="G26" i="2"/>
  <c r="G64" i="2" s="1"/>
  <c r="G25" i="2"/>
  <c r="G63" i="2" s="1"/>
  <c r="G24" i="2"/>
  <c r="G23" i="2"/>
  <c r="G62" i="2" s="1"/>
  <c r="G22" i="2"/>
  <c r="G60" i="2" s="1"/>
  <c r="G21" i="2"/>
  <c r="G59" i="2" s="1"/>
  <c r="G20" i="2"/>
  <c r="G58" i="2" s="1"/>
  <c r="G19" i="2"/>
  <c r="G57" i="2" s="1"/>
  <c r="G18" i="2"/>
  <c r="G17" i="2"/>
  <c r="G55" i="2" s="1"/>
  <c r="G16" i="2"/>
  <c r="G15" i="2"/>
  <c r="G14" i="2"/>
  <c r="G13" i="2"/>
  <c r="G53" i="2" s="1"/>
  <c r="G12" i="2"/>
  <c r="G52" i="2" s="1"/>
  <c r="G11" i="2"/>
  <c r="G51" i="2" s="1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L79" i="2"/>
  <c r="L70" i="2"/>
  <c r="L67" i="2"/>
  <c r="L61" i="2"/>
  <c r="L53" i="2"/>
  <c r="L42" i="2"/>
  <c r="M42" i="2" s="1"/>
  <c r="L33" i="2"/>
  <c r="M33" i="2" s="1"/>
  <c r="L30" i="2"/>
  <c r="M30" i="2" s="1"/>
  <c r="L23" i="2"/>
  <c r="M23" i="2" s="1"/>
  <c r="L13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4" i="2"/>
  <c r="M25" i="2"/>
  <c r="M26" i="2"/>
  <c r="M27" i="2"/>
  <c r="M28" i="2"/>
  <c r="M29" i="2"/>
  <c r="M31" i="2"/>
  <c r="M32" i="2"/>
  <c r="M34" i="2"/>
  <c r="M35" i="2"/>
  <c r="M36" i="2"/>
  <c r="M37" i="2"/>
  <c r="M38" i="2"/>
  <c r="M39" i="2"/>
  <c r="M40" i="2"/>
  <c r="M41" i="2"/>
  <c r="M43" i="2"/>
  <c r="M44" i="2"/>
  <c r="M45" i="2"/>
  <c r="M46" i="2"/>
  <c r="M47" i="2"/>
  <c r="M48" i="2"/>
  <c r="M49" i="2"/>
  <c r="M50" i="2"/>
  <c r="M81" i="2"/>
  <c r="K59" i="2"/>
  <c r="M59" i="2" s="1"/>
  <c r="J62" i="2"/>
  <c r="K62" i="2"/>
  <c r="M62" i="2" s="1"/>
  <c r="J63" i="2"/>
  <c r="K63" i="2"/>
  <c r="M63" i="2" s="1"/>
  <c r="J64" i="2"/>
  <c r="K64" i="2"/>
  <c r="M64" i="2" s="1"/>
  <c r="J65" i="2"/>
  <c r="K65" i="2"/>
  <c r="M65" i="2" s="1"/>
  <c r="J66" i="2"/>
  <c r="K66" i="2"/>
  <c r="M66" i="2" s="1"/>
  <c r="J67" i="2"/>
  <c r="K67" i="2"/>
  <c r="G68" i="2"/>
  <c r="J68" i="2"/>
  <c r="K68" i="2"/>
  <c r="M68" i="2" s="1"/>
  <c r="J69" i="2"/>
  <c r="K69" i="2"/>
  <c r="M69" i="2" s="1"/>
  <c r="J70" i="2"/>
  <c r="K70" i="2"/>
  <c r="J71" i="2"/>
  <c r="K71" i="2"/>
  <c r="M71" i="2" s="1"/>
  <c r="J72" i="2"/>
  <c r="K72" i="2"/>
  <c r="M72" i="2" s="1"/>
  <c r="J73" i="2"/>
  <c r="K73" i="2"/>
  <c r="M73" i="2" s="1"/>
  <c r="J74" i="2"/>
  <c r="K74" i="2"/>
  <c r="M74" i="2" s="1"/>
  <c r="J75" i="2"/>
  <c r="K75" i="2"/>
  <c r="M75" i="2" s="1"/>
  <c r="J76" i="2"/>
  <c r="K76" i="2"/>
  <c r="M76" i="2" s="1"/>
  <c r="J77" i="2"/>
  <c r="K77" i="2"/>
  <c r="M77" i="2" s="1"/>
  <c r="J78" i="2"/>
  <c r="K78" i="2"/>
  <c r="M78" i="2" s="1"/>
  <c r="J79" i="2"/>
  <c r="K79" i="2"/>
  <c r="M79" i="2" s="1"/>
  <c r="J80" i="2"/>
  <c r="K80" i="2"/>
  <c r="M80" i="2" s="1"/>
  <c r="J81" i="2"/>
  <c r="J52" i="2"/>
  <c r="K52" i="2"/>
  <c r="M52" i="2" s="1"/>
  <c r="J53" i="2"/>
  <c r="K53" i="2"/>
  <c r="J54" i="2"/>
  <c r="K54" i="2"/>
  <c r="M54" i="2" s="1"/>
  <c r="J55" i="2"/>
  <c r="K55" i="2"/>
  <c r="M55" i="2" s="1"/>
  <c r="G56" i="2"/>
  <c r="J56" i="2"/>
  <c r="K56" i="2"/>
  <c r="M56" i="2" s="1"/>
  <c r="J57" i="2"/>
  <c r="K57" i="2"/>
  <c r="M57" i="2" s="1"/>
  <c r="J58" i="2"/>
  <c r="K58" i="2"/>
  <c r="M58" i="2" s="1"/>
  <c r="J59" i="2"/>
  <c r="J60" i="2"/>
  <c r="K60" i="2"/>
  <c r="M60" i="2" s="1"/>
  <c r="J61" i="2"/>
  <c r="K61" i="2"/>
  <c r="K51" i="2"/>
  <c r="M51" i="2" s="1"/>
  <c r="J51" i="2"/>
  <c r="G79" i="2" l="1"/>
  <c r="G54" i="2"/>
  <c r="G71" i="2"/>
  <c r="G61" i="2"/>
  <c r="M67" i="2"/>
  <c r="M70" i="2"/>
  <c r="M61" i="2"/>
  <c r="M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<sst xmlns="http://schemas.openxmlformats.org/spreadsheetml/2006/main" count="863" uniqueCount="486">
  <si>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</si>
  <si>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</si>
  <si>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</si>
  <si>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</si>
  <si>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</si>
  <si>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</si>
  <si>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</si>
  <si>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</si>
  <si>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</si>
  <si>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</si>
  <si>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</si>
  <si>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</si>
  <si>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</si>
  <si>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</si>
  <si>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</si>
  <si>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</si>
  <si>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</si>
  <si>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</si>
  <si>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</si>
  <si>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</si>
  <si>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</si>
  <si>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</si>
  <si>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</si>
  <si>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</si>
  <si>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</si>
  <si>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</si>
  <si>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</si>
  <si>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</si>
  <si>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</si>
  <si>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</si>
  <si>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</si>
  <si>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</si>
  <si>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</si>
  <si>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</si>
  <si>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</si>
  <si>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</si>
  <si>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</si>
  <si>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</si>
  <si>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</si>
  <si>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</si>
  <si>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</si>
  <si>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</si>
  <si>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</si>
  <si>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</si>
  <si>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</si>
  <si>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</si>
  <si>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</si>
  <si>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</si>
  <si>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</si>
  <si>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</si>
  <si>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</si>
  <si>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</si>
  <si>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</si>
  <si>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</si>
  <si>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</si>
  <si>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</si>
  <si>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</si>
  <si>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</si>
  <si>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</si>
  <si>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</si>
  <si>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</si>
  <si>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</si>
  <si>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</si>
  <si>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</si>
  <si>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</si>
  <si>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</si>
  <si>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</si>
  <si>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</si>
  <si>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</si>
  <si>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</si>
  <si>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</si>
  <si>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</si>
  <si>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</si>
  <si>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</si>
  <si>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</si>
  <si>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</si>
  <si>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</si>
  <si>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</si>
  <si>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</si>
  <si>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</si>
  <si>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</si>
  <si>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</si>
  <si>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</si>
  <si>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</si>
  <si>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</si>
  <si>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</si>
  <si>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</si>
  <si>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</si>
  <si>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</si>
  <si>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</si>
  <si>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</si>
  <si>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</si>
  <si>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</si>
  <si>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</si>
  <si>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</si>
  <si>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</si>
  <si>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</si>
  <si>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</si>
  <si>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</si>
  <si>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</si>
  <si>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</si>
  <si>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</si>
  <si>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</si>
  <si>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</si>
  <si>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</si>
  <si>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</si>
  <si>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</si>
  <si>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</si>
  <si>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</si>
  <si>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</si>
  <si>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</si>
  <si>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</si>
  <si>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</si>
  <si>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</si>
  <si>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</si>
  <si>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</si>
  <si>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</si>
  <si>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</si>
  <si>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</si>
  <si>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</si>
  <si>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</si>
  <si>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</si>
  <si>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</si>
  <si>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</si>
  <si>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</si>
  <si>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</si>
  <si>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</si>
  <si>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</si>
  <si>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</si>
  <si>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</si>
  <si>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</si>
  <si>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</si>
  <si>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</si>
  <si>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</si>
  <si>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</si>
  <si>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</si>
  <si>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</si>
  <si>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</si>
  <si>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</si>
  <si>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</si>
  <si>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</si>
  <si>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</si>
  <si>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</si>
  <si>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</si>
  <si>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</si>
  <si>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</si>
  <si>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</si>
  <si>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</si>
  <si>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</si>
  <si>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</si>
  <si>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</si>
  <si>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</si>
  <si>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</si>
  <si>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</si>
  <si>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</si>
  <si>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</si>
  <si>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</si>
  <si>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</si>
  <si>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</si>
  <si>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</si>
  <si>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</si>
  <si>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</si>
  <si>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</si>
  <si>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</si>
  <si>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</si>
  <si>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</si>
  <si>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</si>
  <si>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</si>
  <si>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</si>
  <si>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</si>
  <si>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</si>
  <si>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</si>
  <si>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</si>
  <si>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</si>
  <si>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</si>
  <si>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</si>
  <si>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</si>
  <si>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</si>
  <si>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</si>
  <si>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</si>
  <si>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</si>
  <si>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</si>
  <si>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</si>
  <si>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</si>
  <si>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</si>
  <si>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</si>
  <si>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</si>
  <si>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</si>
  <si>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</si>
  <si>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</si>
  <si>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</si>
  <si>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</si>
  <si>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</si>
  <si>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</si>
  <si>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</si>
  <si>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</si>
  <si>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</si>
  <si>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</si>
  <si>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</si>
  <si>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</si>
  <si>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</si>
  <si>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</si>
  <si>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</si>
  <si>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</si>
  <si>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</si>
  <si>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</si>
  <si>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</si>
  <si>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</si>
  <si>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</si>
  <si>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</si>
  <si>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</si>
  <si>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</si>
  <si>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</si>
  <si>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</si>
  <si>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</si>
  <si>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</si>
  <si>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</si>
  <si>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</si>
  <si>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</si>
  <si>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</si>
  <si>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</si>
  <si>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</si>
  <si>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</si>
  <si>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</si>
  <si>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</si>
  <si>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</si>
  <si>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</si>
  <si>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</si>
  <si>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</si>
  <si>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</si>
  <si>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</si>
  <si>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</si>
  <si>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</si>
  <si>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</si>
  <si>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</si>
  <si>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</si>
  <si>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</si>
  <si>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</si>
  <si>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</si>
  <si>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</si>
  <si>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</si>
  <si>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</si>
  <si>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</si>
  <si>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</si>
  <si>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</si>
  <si>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</si>
  <si>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</si>
  <si>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</si>
  <si>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</si>
  <si>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</si>
  <si>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</si>
  <si>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</si>
  <si>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</si>
  <si>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</si>
  <si>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</si>
  <si>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</si>
  <si>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</si>
  <si>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</si>
  <si>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</si>
  <si>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</si>
  <si>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</si>
  <si>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</si>
  <si>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</si>
  <si>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</si>
  <si>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</si>
  <si>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</si>
  <si>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</si>
  <si>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</si>
  <si>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</si>
  <si>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</si>
  <si>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</si>
  <si>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</si>
  <si>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</si>
  <si>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</si>
  <si>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</si>
  <si>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</si>
  <si>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</si>
  <si>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</si>
  <si>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</si>
  <si>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</si>
  <si>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</si>
  <si>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</si>
  <si>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</si>
  <si>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</si>
  <si>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</si>
  <si>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</si>
  <si>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</si>
  <si>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</si>
  <si>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</si>
  <si>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</si>
  <si>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</si>
  <si>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</si>
  <si>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</si>
  <si>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</si>
  <si>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</si>
  <si>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</si>
  <si>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</si>
  <si>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</si>
  <si>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</si>
  <si>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</si>
  <si>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</si>
  <si>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</si>
  <si>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</si>
  <si>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</si>
  <si>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</si>
  <si>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</si>
  <si>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</si>
  <si>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</si>
  <si>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</si>
  <si>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</si>
  <si>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</si>
  <si>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</si>
  <si>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</si>
  <si>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</si>
  <si>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</si>
  <si>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</si>
  <si>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</si>
  <si>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</si>
  <si>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</si>
  <si>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</si>
  <si>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</si>
  <si>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</si>
  <si>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</si>
  <si>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</si>
  <si>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</si>
  <si>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</si>
  <si>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</si>
  <si>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</si>
  <si>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</si>
  <si>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</si>
  <si>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</si>
  <si>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</si>
  <si>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</si>
  <si>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</si>
  <si>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</si>
  <si>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</si>
  <si>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</si>
  <si>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</si>
  <si>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</si>
  <si>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</si>
  <si>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</si>
  <si>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</si>
  <si>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</si>
  <si>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</si>
  <si>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</si>
  <si>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</si>
  <si>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</si>
  <si>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</si>
  <si>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</si>
  <si>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</si>
  <si>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</si>
  <si>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</si>
  <si>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</si>
  <si>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</si>
  <si>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</si>
  <si>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</si>
  <si>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</si>
  <si>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</si>
  <si>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</si>
  <si>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</si>
  <si>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</si>
  <si>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</si>
  <si>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</si>
  <si>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</si>
  <si>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</si>
  <si>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</si>
  <si>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</si>
  <si>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</si>
  <si>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</si>
  <si>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</si>
  <si>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</si>
  <si>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</si>
  <si>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</si>
  <si>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</si>
  <si>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</si>
  <si>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</si>
  <si>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</si>
  <si>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</si>
  <si>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</si>
  <si>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</si>
  <si>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</si>
  <si>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</si>
  <si>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</si>
  <si>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</si>
  <si>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</si>
  <si>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</si>
  <si>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</si>
  <si>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</si>
  <si>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</si>
  <si>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</si>
  <si>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</si>
  <si>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</si>
  <si>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</si>
  <si>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</si>
  <si>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</si>
  <si>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</si>
  <si>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</si>
  <si>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</si>
  <si>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</si>
  <si>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</si>
  <si>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</si>
  <si>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</si>
  <si>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</si>
  <si>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</si>
  <si>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</si>
  <si>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</si>
  <si>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</si>
  <si>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</si>
  <si>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</si>
  <si>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</si>
  <si>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</si>
  <si>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</si>
  <si>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</si>
  <si>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</si>
  <si>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</si>
  <si>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</si>
  <si>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../data/land_use/lu_Irrigated_Grapes.tif</t>
  </si>
  <si>
    <t>../data/land_use/lu_Irrigated_Rice.tif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</si>
  <si>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</si>
  <si>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</si>
  <si>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</si>
  <si>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</si>
  <si>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</si>
  <si>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</si>
  <si>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</si>
  <si>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</si>
  <si>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../data/land_use/lu_Rainfed_Grapes.tif</t>
  </si>
  <si>
    <t>../data/land_use/lu_Rainfed_Rice.tif</t>
  </si>
  <si>
    <t>../data/land_use/lu_Urban.tif</t>
  </si>
  <si>
    <t>commodity_type</t>
  </si>
  <si>
    <t>crop_class</t>
  </si>
  <si>
    <t>crop_subclass</t>
  </si>
  <si>
    <t>permanent</t>
  </si>
  <si>
    <t>annual</t>
  </si>
  <si>
    <t>C:\Users\loyola\OneDrive - World Wildlife Fund, Inc\Documents\203. Python projects\SBTN_Test\data\land_use\FAO_GAEZ/lu_gaez_Barley_irr_ron.tif</t>
  </si>
  <si>
    <t>C:\Users\loyola\OneDrive - World Wildlife Fund, Inc\Documents\203. Python projects\SBTN_Test\data\land_use\FAO_GAEZ/lu_gaez_Barley_irr_roff.tif</t>
  </si>
  <si>
    <t>C:\Users\loyola\OneDrive - World Wildlife Fund, Inc\Documents\203. Python projects\SBTN_Test\data\land_use\FAO_GAEZ/lu_gaez_Cabbage_irr.tif</t>
  </si>
  <si>
    <t>C:\Users\loyola\OneDrive - World Wildlife Fund, Inc\Documents\203. Python projects\SBTN_Test\data\land_use\FAO_GAEZ/lu_gaez_Carrot_irr.tif</t>
  </si>
  <si>
    <t>C:\Users\loyola\OneDrive - World Wildlife Fund, Inc\Documents\203. Python projects\SBTN_Test\data\land_use\FAO_GAEZ/lu_gaez_Cotton_irr.tif</t>
  </si>
  <si>
    <t>C:\Users\loyola\OneDrive - World Wildlife Fund, Inc\Documents\203. Python projects\SBTN_Test\data\land_use\FAO_GAEZ/lu_gaez_Maize_irr_ron.tif</t>
  </si>
  <si>
    <t>C:\Users\loyola\OneDrive - World Wildlife Fund, Inc\Documents\203. Python projects\SBTN_Test\data\land_use\FAO_GAEZ/lu_gaez_Maize_irr_roff.tif</t>
  </si>
  <si>
    <t>C:\Users\loyola\OneDrive - World Wildlife Fund, Inc\Documents\203. Python projects\SBTN_Test\data\land_use\FAO_GAEZ/lu_gaez_Onion_irr.tif</t>
  </si>
  <si>
    <t>C:\Users\loyola\OneDrive - World Wildlife Fund, Inc\Documents\203. Python projects\SBTN_Test\data\land_use\FAO_GAEZ/lu_gaez_Potato_irr.tif</t>
  </si>
  <si>
    <t>C:\Users\loyola\OneDrive - World Wildlife Fund, Inc\Documents\203. Python projects\SBTN_Test\data\land_use\FAO_GAEZ/lu_gaez_Rapeseed_irr_ron.tif</t>
  </si>
  <si>
    <t>C:\Users\loyola\OneDrive - World Wildlife Fund, Inc\Documents\203. Python projects\SBTN_Test\data\land_use\FAO_GAEZ/lu_gaez_Sorghum_irr_ron.tif</t>
  </si>
  <si>
    <t>C:\Users\loyola\OneDrive - World Wildlife Fund, Inc\Documents\203. Python projects\SBTN_Test\data\land_use\FAO_GAEZ/lu_gaez_Sorghum_irr_roff.tif</t>
  </si>
  <si>
    <t>C:\Users\loyola\OneDrive - World Wildlife Fund, Inc\Documents\203. Python projects\SBTN_Test\data\land_use\FAO_GAEZ/lu_gaez_Soybean_irr.tif</t>
  </si>
  <si>
    <t>C:\Users\loyola\OneDrive - World Wildlife Fund, Inc\Documents\203. Python projects\SBTN_Test\data\land_use\FAO_GAEZ/lu_gaez_Sugar beet_irr.tif</t>
  </si>
  <si>
    <t>C:\Users\loyola\OneDrive - World Wildlife Fund, Inc\Documents\203. Python projects\SBTN_Test\data\land_use\FAO_GAEZ/lu_gaez_Sunflower_irr.tif</t>
  </si>
  <si>
    <t>C:\Users\loyola\OneDrive - World Wildlife Fund, Inc\Documents\203. Python projects\SBTN_Test\data\land_use\FAO_GAEZ/lu_gaez_Sweet potato_irr.tif</t>
  </si>
  <si>
    <t>C:\Users\loyola\OneDrive - World Wildlife Fund, Inc\Documents\203. Python projects\SBTN_Test\data\land_use\FAO_GAEZ/lu_gaez_Tobacco_irr.tif</t>
  </si>
  <si>
    <t>C:\Users\loyola\OneDrive - World Wildlife Fund, Inc\Documents\203. Python projects\SBTN_Test\data\land_use\FAO_GAEZ/lu_gaez_Tomato_irr.tif</t>
  </si>
  <si>
    <t>C:\Users\loyola\OneDrive - World Wildlife Fund, Inc\Documents\203. Python projects\SBTN_Test\data\land_use\FAO_GAEZ/lu_gaez_Wheat_irr_roff.tif</t>
  </si>
  <si>
    <t>C:\Users\loyola\OneDrive - World Wildlife Fund, Inc\Documents\203. Python projects\SBTN_Test\data\land_use\FAO_GAEZ/lu_gaez_Barley_rf_ron.tif</t>
  </si>
  <si>
    <t>C:\Users\loyola\OneDrive - World Wildlife Fund, Inc\Documents\203. Python projects\SBTN_Test\data\land_use\FAO_GAEZ/lu_gaez_Barley_rf_roff.tif</t>
  </si>
  <si>
    <t>C:\Users\loyola\OneDrive - World Wildlife Fund, Inc\Documents\203. Python projects\SBTN_Test\data\land_use\FAO_GAEZ/lu_gaez_Cotton_rf.tif</t>
  </si>
  <si>
    <t>C:\Users\loyola\OneDrive - World Wildlife Fund, Inc\Documents\203. Python projects\SBTN_Test\data\land_use\FAO_GAEZ/lu_gaez_Maize_rf.tif</t>
  </si>
  <si>
    <t>C:\Users\loyola\OneDrive - World Wildlife Fund, Inc\Documents\203. Python projects\SBTN_Test\data\land_use\FAO_GAEZ/lu_gaez_Potato_rf.tif</t>
  </si>
  <si>
    <t>C:\Users\loyola\OneDrive - World Wildlife Fund, Inc\Documents\203. Python projects\SBTN_Test\data\land_use\FAO_GAEZ/lu_gaez_Rapeseed_rf_ron.tif</t>
  </si>
  <si>
    <t>C:\Users\loyola\OneDrive - World Wildlife Fund, Inc\Documents\203. Python projects\SBTN_Test\data\land_use\FAO_GAEZ/lu_gaez_Sorghum_rf.tif</t>
  </si>
  <si>
    <t>C:\Users\loyola\OneDrive - World Wildlife Fund, Inc\Documents\203. Python projects\SBTN_Test\data\land_use\FAO_GAEZ/lu_gaez_Sugar beet_rf.tif</t>
  </si>
  <si>
    <t>C:\Users\loyola\OneDrive - World Wildlife Fund, Inc\Documents\203. Python projects\SBTN_Test\data\land_use\FAO_GAEZ/lu_gaez_Soybean_rf.tif</t>
  </si>
  <si>
    <t>C:\Users\loyola\OneDrive - World Wildlife Fund, Inc\Documents\203. Python projects\SBTN_Test\data\land_use\FAO_GAEZ/lu_gaez_Sunflower_rf.tif</t>
  </si>
  <si>
    <t>C:\Users\loyola\OneDrive - World Wildlife Fund, Inc\Documents\203. Python projects\SBTN_Test\data\land_use\FAO_GAEZ/lu_gaez_Sweet potato_rf.tif</t>
  </si>
  <si>
    <t>C:\Users\loyola\OneDrive - World Wildlife Fund, Inc\Documents\203. Python projects\SBTN_Test\data\land_use\FAO_GAEZ/lu_gaez_Tobacco_rf.tif</t>
  </si>
  <si>
    <t>C:\Users\loyola\OneDrive - World Wildlife Fund, Inc\Documents\203. Python projects\SBTN_Test\data\land_use\FAO_GAEZ/lu_gaez_Tomato_rf.tif</t>
  </si>
  <si>
    <t>C:\Users\loyola\OneDrive - World Wildlife Fund, Inc\Documents\203. Python projects\SBTN_Test\data\land_use\FAO_GAEZ/lu_gaez_Wheat_rf_roff.tif</t>
  </si>
  <si>
    <t>C:\Users\loyola\OneDrive - World Wildlife Fund, Inc\Documents\203. Python projects\SBTN_Test\data\land_use\FAO_GAEZ/lu_gaez_Groundnut_irr.tif</t>
  </si>
  <si>
    <t>C:\Users\loyola\OneDrive - World Wildlife Fund, Inc\Documents\203. Python projects\SBTN_Test\data\land_use\FAO_GAEZ/lu_gaez_Groundnut_rf.tif</t>
  </si>
  <si>
    <t>C:\Users\loyola\OneDrive - World Wildlife Fund, Inc\Documents\203. Python projects\SBTN_Test\data\land_use\FAO_GAEZ/lu_gaez_Rapeseed_irr_roff.tif</t>
  </si>
  <si>
    <t>C:\Users\loyola\OneDrive - World Wildlife Fund, Inc\Documents\203. Python projects\SBTN_Test\data\land_use\FAO_GAEZ/lu_gaez_Banana_irr.tif</t>
  </si>
  <si>
    <t>C:\Users\loyola\OneDrive - World Wildlife Fund, Inc\Documents\203. Python projects\SBTN_Test\data\land_use\FAO_GAEZ/lu_gaez_Cocoa_irr.tif</t>
  </si>
  <si>
    <t>C:\Users\loyola\OneDrive - World Wildlife Fund, Inc\Documents\203. Python projects\SBTN_Test\data\land_use\FAO_GAEZ/lu_gaez_Coconut_irr.tif</t>
  </si>
  <si>
    <t>C:\Users\loyola\OneDrive - World Wildlife Fund, Inc\Documents\203. Python projects\SBTN_Test\data\land_use\FAO_GAEZ/lu_gaez_Coffee_irr.tif</t>
  </si>
  <si>
    <t>C:\Users\loyola\OneDrive - World Wildlife Fund, Inc\Documents\203. Python projects\SBTN_Test\data\land_use\FAO_GAEZ/lu_gaez_Oil palm_irr.tif</t>
  </si>
  <si>
    <t>C:\Users\loyola\OneDrive - World Wildlife Fund, Inc\Documents\203. Python projects\SBTN_Test\data\land_use\FAO_GAEZ/lu_gaez_Olive_irr.tif</t>
  </si>
  <si>
    <t>C:\Users\loyola\OneDrive - World Wildlife Fund, Inc\Documents\203. Python projects\SBTN_Test\data\land_use\FAO_GAEZ/lu_gaez_Orange_irr.tif</t>
  </si>
  <si>
    <t>C:\Users\loyola\OneDrive - World Wildlife Fund, Inc\Documents\203. Python projects\SBTN_Test\data\land_use\FAO_GAEZ/lu_gaez_Sugarcane_irr.tif</t>
  </si>
  <si>
    <t>C:\Users\loyola\OneDrive - World Wildlife Fund, Inc\Documents\203. Python projects\SBTN_Test\data\land_use\FAO_GAEZ/lu_gaez_Banana_rf.tif</t>
  </si>
  <si>
    <t>C:\Users\loyola\OneDrive - World Wildlife Fund, Inc\Documents\203. Python projects\SBTN_Test\data\land_use\FAO_GAEZ/lu_gaez_Cocoa_rf.tif</t>
  </si>
  <si>
    <t>C:\Users\loyola\OneDrive - World Wildlife Fund, Inc\Documents\203. Python projects\SBTN_Test\data\land_use\FAO_GAEZ/lu_gaez_Coconut_rf.tif</t>
  </si>
  <si>
    <t>C:\Users\loyola\OneDrive - World Wildlife Fund, Inc\Documents\203. Python projects\SBTN_Test\data\land_use\FAO_GAEZ/lu_gaez_Coffee_rf.tif</t>
  </si>
  <si>
    <t>C:\Users\loyola\OneDrive - World Wildlife Fund, Inc\Documents\203. Python projects\SBTN_Test\data\land_use\FAO_GAEZ/lu_gaez_Oil palm_rf.tif</t>
  </si>
  <si>
    <t>C:\Users\loyola\OneDrive - World Wildlife Fund, Inc\Documents\203. Python projects\SBTN_Test\data\land_use\FAO_GAEZ/lu_gaez_Olive_rf.tif</t>
  </si>
  <si>
    <t>C:\Users\loyola\OneDrive - World Wildlife Fund, Inc\Documents\203. Python projects\SBTN_Test\data\land_use\FAO_GAEZ/lu_gaez_Orange_rf.tif</t>
  </si>
  <si>
    <t>C:\Users\loyola\OneDrive - World Wildlife Fund, Inc\Documents\203. Python projects\SBTN_Test\data\land_use\FAO_GAEZ/lu_gaez_Sugarcane_rf.tif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</si>
</sst>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5" unboundColumnsRight="10">
    <queryTableFields count="13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13" dataBound="0" tableColumnId="12"/>
      <queryTableField id="14" dataBound="0" tableColumnId="13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M81" tableType="queryTable" totalsRowShown="0">
  <autoFilter ref="A1:M81" xr:uid="{B91ACB39-A6C6-4049-8B69-94BB57FE429E}"/>
  <tableColumns count="13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ommodity_type" queryTableFieldId="7" dataDxfId="4"/>
    <tableColumn id="12" xr3:uid="{7A4FB457-40F4-4DD8-A0BB-88585C232B49}" uniqueName="12" name="crop_type" queryTableFieldId="13"/>
    <tableColumn id="13" xr3:uid="{AEFE9D70-4CF9-44BD-B00B-BD26F54C2B75}" uniqueName="13" name="crop_class" queryTableFieldId="14"/>
    <tableColumn id="8" xr3:uid="{A55D118B-687D-492C-A26A-CBF26CECBEF2}" uniqueName="8" name="crop_subclass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M81"/>
  <sheetViews>
    <sheetView tabSelected="1" zoomScale="35" workbookViewId="0">
      <selection activeCell="E100" sqref="E100"/>
    </sheetView>
  </sheetViews>
  <sheetFormatPr defaultRowHeight="14.5" x14ac:dyDescent="0.35"/>
  <cols>
    <col min="1" max="1" width="28.1796875" customWidth="1"/>
    <col min="2" max="2" width="44.90625" bestFit="1" customWidth="1"/>
    <col min="3" max="3" width="37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  <col min="9" max="9" width="21.36328125" customWidth="1"/>
    <col min="10" max="10" width="21.36328125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429</v>
      </c>
      <c r="H1" t="s">
        <v>306</v>
      </c>
      <c r="I1" t="s">
        <v>430</v>
      </c>
      <c r="J1" t="s">
        <v>431</v>
      </c>
      <c r="K1" t="s">
        <v>315</v>
      </c>
      <c r="L1" t="s">
        <v>404</v>
      </c>
      <c r="M1" t="s">
        <v>405</v>
      </c>
    </row>
    <row r="2" spans="1:13" x14ac:dyDescent="0.35">
      <c r="A2" t="s">
        <v>324</v>
      </c>
      <c r="B2" t="s">
        <v>3</v>
      </c>
      <c r="C2" t="s">
        <v>406</v>
      </c>
      <c r="D2" t="s">
        <v>3</v>
      </c>
      <c r="E2" t="s">
        <v>90</v>
      </c>
      <c r="F2" t="s">
        <v>90</v>
      </c>
      <c r="G2" t="s">
        <v>322</v>
      </c>
      <c r="I2" t="s">
        <v>322</v>
      </c>
      <c r="J2" t="s">
        <v>323</v>
      </c>
      <c r="K2">
        <v>3.0000000000000001E-3</v>
      </c>
      <c r="L2">
        <v>1</v>
      </c>
      <c r="M2">
        <f>+foreground_occupation_file_index[[#This Row],[c_res]]*foreground_occupation_file_index[[#This Row],[c_crop]]</f>
        <v>3.0000000000000001E-3</v>
      </c>
    </row>
    <row r="3" spans="1:13" x14ac:dyDescent="0.35">
      <c r="A3" t="s">
        <v>325</v>
      </c>
      <c r="B3" t="s">
        <v>4</v>
      </c>
      <c r="C3" t="s">
        <v>407</v>
      </c>
      <c r="D3" t="s">
        <v>4</v>
      </c>
      <c r="E3" t="s">
        <v>90</v>
      </c>
      <c r="F3" t="s">
        <v>90</v>
      </c>
      <c r="G3" t="s">
        <v>322</v>
      </c>
      <c r="I3" t="s">
        <v>322</v>
      </c>
      <c r="J3" t="s">
        <v>323</v>
      </c>
      <c r="K3">
        <v>3.0000000000000001E-3</v>
      </c>
      <c r="L3">
        <v>1</v>
      </c>
      <c r="M3">
        <f>+foreground_occupation_file_index[[#This Row],[c_res]]*foreground_occupation_file_index[[#This Row],[c_crop]]</f>
        <v>3.0000000000000001E-3</v>
      </c>
    </row>
    <row r="4" spans="1:13" x14ac:dyDescent="0.35">
      <c r="A4" t="s">
        <v>326</v>
      </c>
      <c r="B4" t="s">
        <v>5</v>
      </c>
      <c r="C4" t="s">
        <v>408</v>
      </c>
      <c r="D4" t="s">
        <v>5</v>
      </c>
      <c r="E4" t="s">
        <v>90</v>
      </c>
      <c r="F4" t="s">
        <v>90</v>
      </c>
      <c r="G4" t="s">
        <v>322</v>
      </c>
      <c r="I4" t="s">
        <v>322</v>
      </c>
      <c r="J4" t="s">
        <v>323</v>
      </c>
      <c r="K4">
        <v>3.0000000000000001E-3</v>
      </c>
      <c r="L4">
        <v>1</v>
      </c>
      <c r="M4">
        <f>+foreground_occupation_file_index[[#This Row],[c_res]]*foreground_occupation_file_index[[#This Row],[c_crop]]</f>
        <v>3.0000000000000001E-3</v>
      </c>
    </row>
    <row r="5" spans="1:13" x14ac:dyDescent="0.35">
      <c r="A5" t="s">
        <v>327</v>
      </c>
      <c r="B5" t="s">
        <v>6</v>
      </c>
      <c r="C5" t="s">
        <v>409</v>
      </c>
      <c r="D5" t="s">
        <v>6</v>
      </c>
      <c r="E5" t="s">
        <v>90</v>
      </c>
      <c r="F5" t="s">
        <v>90</v>
      </c>
      <c r="G5" t="s">
        <v>322</v>
      </c>
      <c r="I5" t="s">
        <v>322</v>
      </c>
      <c r="J5" t="s">
        <v>323</v>
      </c>
      <c r="K5">
        <v>3.0000000000000001E-3</v>
      </c>
      <c r="L5">
        <v>1</v>
      </c>
      <c r="M5">
        <f>+foreground_occupation_file_index[[#This Row],[c_res]]*foreground_occupation_file_index[[#This Row],[c_crop]]</f>
        <v>3.0000000000000001E-3</v>
      </c>
    </row>
    <row r="6" spans="1:13" x14ac:dyDescent="0.35">
      <c r="A6" t="s">
        <v>328</v>
      </c>
      <c r="B6" t="s">
        <v>7</v>
      </c>
      <c r="C6" t="s">
        <v>410</v>
      </c>
      <c r="D6" t="s">
        <v>7</v>
      </c>
      <c r="E6" t="s">
        <v>90</v>
      </c>
      <c r="F6" t="s">
        <v>90</v>
      </c>
      <c r="G6" t="s">
        <v>322</v>
      </c>
      <c r="I6" t="s">
        <v>322</v>
      </c>
      <c r="J6" t="s">
        <v>323</v>
      </c>
      <c r="K6">
        <v>3.0000000000000001E-3</v>
      </c>
      <c r="L6">
        <v>1</v>
      </c>
      <c r="M6">
        <f>+foreground_occupation_file_index[[#This Row],[c_res]]*foreground_occupation_file_index[[#This Row],[c_crop]]</f>
        <v>3.0000000000000001E-3</v>
      </c>
    </row>
    <row r="7" spans="1:13" x14ac:dyDescent="0.35">
      <c r="A7" t="s">
        <v>329</v>
      </c>
      <c r="B7" t="s">
        <v>8</v>
      </c>
      <c r="C7" t="s">
        <v>411</v>
      </c>
      <c r="D7" t="s">
        <v>8</v>
      </c>
      <c r="E7" t="s">
        <v>90</v>
      </c>
      <c r="F7" t="s">
        <v>90</v>
      </c>
      <c r="G7" t="s">
        <v>322</v>
      </c>
      <c r="I7" t="s">
        <v>322</v>
      </c>
      <c r="J7" t="s">
        <v>323</v>
      </c>
      <c r="K7">
        <v>3.0000000000000001E-3</v>
      </c>
      <c r="L7">
        <v>1</v>
      </c>
      <c r="M7">
        <f>+foreground_occupation_file_index[[#This Row],[c_res]]*foreground_occupation_file_index[[#This Row],[c_crop]]</f>
        <v>3.0000000000000001E-3</v>
      </c>
    </row>
    <row r="8" spans="1:13" x14ac:dyDescent="0.35">
      <c r="A8" t="s">
        <v>330</v>
      </c>
      <c r="B8" t="s">
        <v>9</v>
      </c>
      <c r="C8" t="s">
        <v>412</v>
      </c>
      <c r="D8" t="s">
        <v>9</v>
      </c>
      <c r="E8" t="s">
        <v>90</v>
      </c>
      <c r="F8" t="s">
        <v>90</v>
      </c>
      <c r="G8" t="s">
        <v>322</v>
      </c>
      <c r="I8" t="s">
        <v>322</v>
      </c>
      <c r="J8" t="s">
        <v>323</v>
      </c>
      <c r="K8">
        <v>3.0000000000000001E-3</v>
      </c>
      <c r="L8">
        <v>1</v>
      </c>
      <c r="M8">
        <f>+foreground_occupation_file_index[[#This Row],[c_res]]*foreground_occupation_file_index[[#This Row],[c_crop]]</f>
        <v>3.0000000000000001E-3</v>
      </c>
    </row>
    <row r="9" spans="1:13" x14ac:dyDescent="0.35">
      <c r="A9" t="s">
        <v>331</v>
      </c>
      <c r="B9" t="s">
        <v>10</v>
      </c>
      <c r="C9" t="s">
        <v>413</v>
      </c>
      <c r="D9" t="s">
        <v>10</v>
      </c>
      <c r="E9" t="s">
        <v>90</v>
      </c>
      <c r="F9" t="s">
        <v>90</v>
      </c>
      <c r="G9" t="s">
        <v>322</v>
      </c>
      <c r="I9" t="s">
        <v>322</v>
      </c>
      <c r="J9" t="s">
        <v>323</v>
      </c>
      <c r="K9">
        <v>3.0000000000000001E-3</v>
      </c>
      <c r="L9">
        <v>1</v>
      </c>
      <c r="M9">
        <f>+foreground_occupation_file_index[[#This Row],[c_res]]*foreground_occupation_file_index[[#This Row],[c_crop]]</f>
        <v>3.0000000000000001E-3</v>
      </c>
    </row>
    <row r="10" spans="1:13" x14ac:dyDescent="0.35">
      <c r="A10" t="s">
        <v>332</v>
      </c>
      <c r="B10" t="s">
        <v>11</v>
      </c>
      <c r="C10" t="s">
        <v>414</v>
      </c>
      <c r="D10" t="s">
        <v>11</v>
      </c>
      <c r="E10" t="s">
        <v>90</v>
      </c>
      <c r="F10" t="s">
        <v>90</v>
      </c>
      <c r="G10" t="s">
        <v>11</v>
      </c>
      <c r="I10" t="s">
        <v>11</v>
      </c>
      <c r="J10" t="s">
        <v>323</v>
      </c>
      <c r="K10">
        <v>0.01</v>
      </c>
      <c r="L10">
        <v>1</v>
      </c>
      <c r="M10">
        <f>+foreground_occupation_file_index[[#This Row],[c_res]]*foreground_occupation_file_index[[#This Row],[c_crop]]</f>
        <v>0.01</v>
      </c>
    </row>
    <row r="11" spans="1:13" x14ac:dyDescent="0.35">
      <c r="A11" t="s">
        <v>333</v>
      </c>
      <c r="B11" t="s">
        <v>12</v>
      </c>
      <c r="C11" t="s">
        <v>415</v>
      </c>
      <c r="D11" t="s">
        <v>92</v>
      </c>
      <c r="E11" t="s">
        <v>87</v>
      </c>
      <c r="F11" t="s">
        <v>90</v>
      </c>
      <c r="G11" t="str">
        <f>+foreground_occupation_file_index[[#This Row],[crop_type]]&amp;"_crop"</f>
        <v>permanent_crop</v>
      </c>
      <c r="H11" t="s">
        <v>432</v>
      </c>
      <c r="I11" t="s">
        <v>307</v>
      </c>
      <c r="J11" t="s">
        <v>312</v>
      </c>
      <c r="K11">
        <v>0.15</v>
      </c>
      <c r="L11">
        <v>1</v>
      </c>
      <c r="M11">
        <f>+foreground_occupation_file_index[[#This Row],[c_res]]*foreground_occupation_file_index[[#This Row],[c_crop]]</f>
        <v>0.15</v>
      </c>
    </row>
    <row r="12" spans="1:13" x14ac:dyDescent="0.35">
      <c r="A12" t="s">
        <v>334</v>
      </c>
      <c r="B12" t="s">
        <v>13</v>
      </c>
      <c r="C12" s="11" t="s">
        <v>470</v>
      </c>
      <c r="D12" t="s">
        <v>93</v>
      </c>
      <c r="E12" t="s">
        <v>87</v>
      </c>
      <c r="F12" t="s">
        <v>90</v>
      </c>
      <c r="G12" t="str">
        <f>+foreground_occupation_file_index[[#This Row],[crop_type]]&amp;"_crop"</f>
        <v>permanent_crop</v>
      </c>
      <c r="H12" t="s">
        <v>432</v>
      </c>
      <c r="I12" t="s">
        <v>307</v>
      </c>
      <c r="J12" t="s">
        <v>312</v>
      </c>
      <c r="K12">
        <v>0.15</v>
      </c>
      <c r="L12">
        <v>1</v>
      </c>
      <c r="M12">
        <f>+foreground_occupation_file_index[[#This Row],[c_res]]*foreground_occupation_file_index[[#This Row],[c_crop]]</f>
        <v>0.15</v>
      </c>
    </row>
    <row r="13" spans="1:13" x14ac:dyDescent="0.35">
      <c r="A13" t="s">
        <v>335</v>
      </c>
      <c r="B13" t="s">
        <v>14</v>
      </c>
      <c r="C13" s="11" t="s">
        <v>434</v>
      </c>
      <c r="D13" t="s">
        <v>127</v>
      </c>
      <c r="E13" t="s">
        <v>87</v>
      </c>
      <c r="F13" t="s">
        <v>85</v>
      </c>
      <c r="G13" t="str">
        <f>+foreground_occupation_file_index[[#This Row],[crop_type]]&amp;"_crop"</f>
        <v>annual_crop</v>
      </c>
      <c r="H13" t="s">
        <v>433</v>
      </c>
      <c r="I13" t="s">
        <v>308</v>
      </c>
      <c r="J13" t="s">
        <v>312</v>
      </c>
      <c r="K13">
        <v>0.2</v>
      </c>
      <c r="L13">
        <f>1-0.12</f>
        <v>0.88</v>
      </c>
      <c r="M13">
        <f>+foreground_occupation_file_index[[#This Row],[c_res]]*foreground_occupation_file_index[[#This Row],[c_crop]]</f>
        <v>0.17600000000000002</v>
      </c>
    </row>
    <row r="14" spans="1:13" x14ac:dyDescent="0.35">
      <c r="A14" t="s">
        <v>336</v>
      </c>
      <c r="B14" t="s">
        <v>15</v>
      </c>
      <c r="C14" s="11" t="s">
        <v>435</v>
      </c>
      <c r="D14" t="s">
        <v>127</v>
      </c>
      <c r="E14" t="s">
        <v>87</v>
      </c>
      <c r="F14" t="s">
        <v>86</v>
      </c>
      <c r="G14" t="str">
        <f>+foreground_occupation_file_index[[#This Row],[crop_type]]&amp;"_crop"</f>
        <v>annual_crop</v>
      </c>
      <c r="H14" t="s">
        <v>433</v>
      </c>
      <c r="I14" t="s">
        <v>308</v>
      </c>
      <c r="J14" t="s">
        <v>312</v>
      </c>
      <c r="K14">
        <v>0.2</v>
      </c>
      <c r="L14">
        <v>1</v>
      </c>
      <c r="M14">
        <f>+foreground_occupation_file_index[[#This Row],[c_res]]*foreground_occupation_file_index[[#This Row],[c_crop]]</f>
        <v>0.2</v>
      </c>
    </row>
    <row r="15" spans="1:13" x14ac:dyDescent="0.35">
      <c r="A15" t="s">
        <v>337</v>
      </c>
      <c r="B15" t="s">
        <v>16</v>
      </c>
      <c r="C15" s="11" t="s">
        <v>436</v>
      </c>
      <c r="D15" t="s">
        <v>94</v>
      </c>
      <c r="E15" t="s">
        <v>87</v>
      </c>
      <c r="F15" t="s">
        <v>90</v>
      </c>
      <c r="G15" t="str">
        <f>+foreground_occupation_file_index[[#This Row],[crop_type]]&amp;"_crop"</f>
        <v>annual_crop</v>
      </c>
      <c r="H15" t="s">
        <v>433</v>
      </c>
      <c r="I15" t="s">
        <v>309</v>
      </c>
      <c r="J15" t="s">
        <v>312</v>
      </c>
      <c r="K15">
        <v>0.34</v>
      </c>
      <c r="L15">
        <v>1</v>
      </c>
      <c r="M15">
        <f>+foreground_occupation_file_index[[#This Row],[c_res]]*foreground_occupation_file_index[[#This Row],[c_crop]]</f>
        <v>0.34</v>
      </c>
    </row>
    <row r="16" spans="1:13" x14ac:dyDescent="0.35">
      <c r="A16" t="s">
        <v>338</v>
      </c>
      <c r="B16" t="s">
        <v>17</v>
      </c>
      <c r="C16" s="11" t="s">
        <v>437</v>
      </c>
      <c r="D16" t="s">
        <v>95</v>
      </c>
      <c r="E16" t="s">
        <v>87</v>
      </c>
      <c r="F16" t="s">
        <v>90</v>
      </c>
      <c r="G16" t="str">
        <f>+foreground_occupation_file_index[[#This Row],[crop_type]]&amp;"_crop"</f>
        <v>annual_crop</v>
      </c>
      <c r="H16" t="s">
        <v>433</v>
      </c>
      <c r="I16" t="s">
        <v>310</v>
      </c>
      <c r="J16" t="s">
        <v>312</v>
      </c>
      <c r="K16">
        <v>0.5</v>
      </c>
      <c r="L16">
        <v>1</v>
      </c>
      <c r="M16">
        <f>+foreground_occupation_file_index[[#This Row],[c_res]]*foreground_occupation_file_index[[#This Row],[c_crop]]</f>
        <v>0.5</v>
      </c>
    </row>
    <row r="17" spans="1:13" x14ac:dyDescent="0.35">
      <c r="A17" t="s">
        <v>339</v>
      </c>
      <c r="B17" t="s">
        <v>18</v>
      </c>
      <c r="C17" s="11" t="s">
        <v>471</v>
      </c>
      <c r="D17" t="s">
        <v>96</v>
      </c>
      <c r="E17" t="s">
        <v>87</v>
      </c>
      <c r="F17" t="s">
        <v>90</v>
      </c>
      <c r="G17" t="str">
        <f>+foreground_occupation_file_index[[#This Row],[crop_type]]&amp;"_crop"</f>
        <v>permanent_crop</v>
      </c>
      <c r="H17" t="s">
        <v>432</v>
      </c>
      <c r="I17" t="s">
        <v>307</v>
      </c>
      <c r="J17" t="s">
        <v>312</v>
      </c>
      <c r="K17">
        <v>0.15</v>
      </c>
      <c r="L17">
        <v>1</v>
      </c>
      <c r="M17">
        <f>+foreground_occupation_file_index[[#This Row],[c_res]]*foreground_occupation_file_index[[#This Row],[c_crop]]</f>
        <v>0.15</v>
      </c>
    </row>
    <row r="18" spans="1:13" x14ac:dyDescent="0.35">
      <c r="A18" t="s">
        <v>340</v>
      </c>
      <c r="B18" t="s">
        <v>19</v>
      </c>
      <c r="C18" s="11" t="s">
        <v>472</v>
      </c>
      <c r="D18" t="s">
        <v>97</v>
      </c>
      <c r="E18" t="s">
        <v>87</v>
      </c>
      <c r="F18" t="s">
        <v>90</v>
      </c>
      <c r="G18" t="str">
        <f>+foreground_occupation_file_index[[#This Row],[crop_type]]&amp;"_crop"</f>
        <v>permanent_crop</v>
      </c>
      <c r="H18" t="s">
        <v>432</v>
      </c>
      <c r="I18" t="s">
        <v>307</v>
      </c>
      <c r="J18" t="s">
        <v>312</v>
      </c>
      <c r="K18">
        <v>0.15</v>
      </c>
      <c r="L18">
        <v>1</v>
      </c>
      <c r="M18">
        <f>+foreground_occupation_file_index[[#This Row],[c_res]]*foreground_occupation_file_index[[#This Row],[c_crop]]</f>
        <v>0.15</v>
      </c>
    </row>
    <row r="19" spans="1:13" x14ac:dyDescent="0.35">
      <c r="A19" t="s">
        <v>341</v>
      </c>
      <c r="B19" t="s">
        <v>20</v>
      </c>
      <c r="C19" s="11" t="s">
        <v>473</v>
      </c>
      <c r="D19" t="s">
        <v>98</v>
      </c>
      <c r="E19" t="s">
        <v>87</v>
      </c>
      <c r="F19" t="s">
        <v>90</v>
      </c>
      <c r="G19" t="str">
        <f>+foreground_occupation_file_index[[#This Row],[crop_type]]&amp;"_crop"</f>
        <v>permanent_crop</v>
      </c>
      <c r="H19" t="s">
        <v>432</v>
      </c>
      <c r="I19" t="s">
        <v>98</v>
      </c>
      <c r="J19" t="s">
        <v>98</v>
      </c>
      <c r="K19">
        <v>0.2</v>
      </c>
      <c r="L19">
        <v>1</v>
      </c>
      <c r="M19">
        <f>+foreground_occupation_file_index[[#This Row],[c_res]]*foreground_occupation_file_index[[#This Row],[c_crop]]</f>
        <v>0.2</v>
      </c>
    </row>
    <row r="20" spans="1:13" x14ac:dyDescent="0.35">
      <c r="A20" t="s">
        <v>342</v>
      </c>
      <c r="B20" t="s">
        <v>21</v>
      </c>
      <c r="C20" s="11" t="s">
        <v>438</v>
      </c>
      <c r="D20" t="s">
        <v>311</v>
      </c>
      <c r="E20" t="s">
        <v>87</v>
      </c>
      <c r="F20" t="s">
        <v>90</v>
      </c>
      <c r="G20" t="str">
        <f>+foreground_occupation_file_index[[#This Row],[crop_type]]&amp;"_crop"</f>
        <v>annual_crop</v>
      </c>
      <c r="H20" t="s">
        <v>433</v>
      </c>
      <c r="I20" t="s">
        <v>311</v>
      </c>
      <c r="J20" t="s">
        <v>311</v>
      </c>
      <c r="K20">
        <v>0.4</v>
      </c>
      <c r="L20">
        <v>1</v>
      </c>
      <c r="M20">
        <f>+foreground_occupation_file_index[[#This Row],[c_res]]*foreground_occupation_file_index[[#This Row],[c_crop]]</f>
        <v>0.4</v>
      </c>
    </row>
    <row r="21" spans="1:13" x14ac:dyDescent="0.35">
      <c r="A21" t="s">
        <v>343</v>
      </c>
      <c r="B21" t="s">
        <v>22</v>
      </c>
      <c r="C21" t="s">
        <v>416</v>
      </c>
      <c r="D21" t="s">
        <v>100</v>
      </c>
      <c r="E21" t="s">
        <v>87</v>
      </c>
      <c r="F21" t="s">
        <v>90</v>
      </c>
      <c r="G21" t="str">
        <f>+foreground_occupation_file_index[[#This Row],[crop_type]]&amp;"_crop"</f>
        <v>permanent_crop</v>
      </c>
      <c r="H21" t="s">
        <v>432</v>
      </c>
      <c r="I21" t="s">
        <v>313</v>
      </c>
      <c r="J21" t="s">
        <v>100</v>
      </c>
      <c r="K21">
        <v>0.35</v>
      </c>
      <c r="L21">
        <v>1</v>
      </c>
      <c r="M21">
        <f>+foreground_occupation_file_index[[#This Row],[c_res]]*foreground_occupation_file_index[[#This Row],[c_crop]]</f>
        <v>0.35</v>
      </c>
    </row>
    <row r="22" spans="1:13" x14ac:dyDescent="0.35">
      <c r="A22" t="s">
        <v>344</v>
      </c>
      <c r="B22" t="s">
        <v>23</v>
      </c>
      <c r="C22" s="11" t="s">
        <v>467</v>
      </c>
      <c r="D22" t="s">
        <v>101</v>
      </c>
      <c r="E22" t="s">
        <v>87</v>
      </c>
      <c r="F22" t="s">
        <v>90</v>
      </c>
      <c r="G22" t="str">
        <f>+foreground_occupation_file_index[[#This Row],[crop_type]]&amp;"_crop"</f>
        <v>annual_crop</v>
      </c>
      <c r="H22" t="s">
        <v>433</v>
      </c>
      <c r="I22" t="s">
        <v>314</v>
      </c>
      <c r="J22" t="s">
        <v>312</v>
      </c>
      <c r="K22">
        <v>0.32</v>
      </c>
      <c r="L22">
        <v>1</v>
      </c>
      <c r="M22">
        <f>+foreground_occupation_file_index[[#This Row],[c_res]]*foreground_occupation_file_index[[#This Row],[c_crop]]</f>
        <v>0.32</v>
      </c>
    </row>
    <row r="23" spans="1:13" x14ac:dyDescent="0.35">
      <c r="A23" t="s">
        <v>345</v>
      </c>
      <c r="B23" t="s">
        <v>24</v>
      </c>
      <c r="C23" s="11" t="s">
        <v>439</v>
      </c>
      <c r="D23" t="s">
        <v>138</v>
      </c>
      <c r="E23" t="s">
        <v>87</v>
      </c>
      <c r="F23" t="s">
        <v>85</v>
      </c>
      <c r="G23" t="str">
        <f>+foreground_occupation_file_index[[#This Row],[crop_type]]&amp;"_crop"</f>
        <v>annual_crop</v>
      </c>
      <c r="H23" t="s">
        <v>433</v>
      </c>
      <c r="I23" t="s">
        <v>308</v>
      </c>
      <c r="J23" t="s">
        <v>138</v>
      </c>
      <c r="K23">
        <v>0.38</v>
      </c>
      <c r="L23">
        <f>1-0.12</f>
        <v>0.88</v>
      </c>
      <c r="M23">
        <f>+foreground_occupation_file_index[[#This Row],[c_res]]*foreground_occupation_file_index[[#This Row],[c_crop]]</f>
        <v>0.33440000000000003</v>
      </c>
    </row>
    <row r="24" spans="1:13" x14ac:dyDescent="0.35">
      <c r="A24" t="s">
        <v>346</v>
      </c>
      <c r="B24" t="s">
        <v>25</v>
      </c>
      <c r="C24" s="11" t="s">
        <v>440</v>
      </c>
      <c r="D24" t="s">
        <v>138</v>
      </c>
      <c r="E24" t="s">
        <v>87</v>
      </c>
      <c r="F24" t="s">
        <v>86</v>
      </c>
      <c r="G24" t="str">
        <f>+foreground_occupation_file_index[[#This Row],[crop_type]]&amp;"_crop"</f>
        <v>annual_crop</v>
      </c>
      <c r="H24" t="s">
        <v>433</v>
      </c>
      <c r="I24" t="s">
        <v>308</v>
      </c>
      <c r="J24" t="s">
        <v>138</v>
      </c>
      <c r="K24">
        <v>0.38</v>
      </c>
      <c r="L24">
        <v>1</v>
      </c>
      <c r="M24">
        <f>+foreground_occupation_file_index[[#This Row],[c_res]]*foreground_occupation_file_index[[#This Row],[c_crop]]</f>
        <v>0.38</v>
      </c>
    </row>
    <row r="25" spans="1:13" x14ac:dyDescent="0.35">
      <c r="A25" t="s">
        <v>347</v>
      </c>
      <c r="B25" t="s">
        <v>26</v>
      </c>
      <c r="C25" s="11" t="s">
        <v>474</v>
      </c>
      <c r="D25" t="s">
        <v>102</v>
      </c>
      <c r="E25" t="s">
        <v>87</v>
      </c>
      <c r="F25" t="s">
        <v>90</v>
      </c>
      <c r="G25" t="str">
        <f>+foreground_occupation_file_index[[#This Row],[crop_type]]&amp;"_crop"</f>
        <v>permanent_crop</v>
      </c>
      <c r="H25" t="s">
        <v>432</v>
      </c>
      <c r="I25" t="s">
        <v>307</v>
      </c>
      <c r="J25" t="s">
        <v>312</v>
      </c>
      <c r="K25">
        <v>0.15</v>
      </c>
      <c r="L25">
        <v>1</v>
      </c>
      <c r="M25">
        <f>+foreground_occupation_file_index[[#This Row],[c_res]]*foreground_occupation_file_index[[#This Row],[c_crop]]</f>
        <v>0.15</v>
      </c>
    </row>
    <row r="26" spans="1:13" x14ac:dyDescent="0.35">
      <c r="A26" t="s">
        <v>348</v>
      </c>
      <c r="B26" t="s">
        <v>27</v>
      </c>
      <c r="C26" s="11" t="s">
        <v>475</v>
      </c>
      <c r="D26" t="s">
        <v>103</v>
      </c>
      <c r="E26" t="s">
        <v>87</v>
      </c>
      <c r="F26" t="s">
        <v>90</v>
      </c>
      <c r="G26" t="str">
        <f>+foreground_occupation_file_index[[#This Row],[crop_type]]&amp;"_crop"</f>
        <v>permanent_crop</v>
      </c>
      <c r="H26" t="s">
        <v>432</v>
      </c>
      <c r="I26" t="s">
        <v>307</v>
      </c>
      <c r="J26" t="s">
        <v>312</v>
      </c>
      <c r="K26">
        <v>0.15</v>
      </c>
      <c r="L26">
        <v>1</v>
      </c>
      <c r="M26">
        <f>+foreground_occupation_file_index[[#This Row],[c_res]]*foreground_occupation_file_index[[#This Row],[c_crop]]</f>
        <v>0.15</v>
      </c>
    </row>
    <row r="27" spans="1:13" x14ac:dyDescent="0.35">
      <c r="A27" t="s">
        <v>349</v>
      </c>
      <c r="B27" t="s">
        <v>28</v>
      </c>
      <c r="C27" s="11" t="s">
        <v>441</v>
      </c>
      <c r="D27" t="s">
        <v>104</v>
      </c>
      <c r="E27" t="s">
        <v>87</v>
      </c>
      <c r="F27" t="s">
        <v>90</v>
      </c>
      <c r="G27" t="str">
        <f>+foreground_occupation_file_index[[#This Row],[crop_type]]&amp;"_crop"</f>
        <v>annual_crop</v>
      </c>
      <c r="H27" t="s">
        <v>433</v>
      </c>
      <c r="I27" t="s">
        <v>316</v>
      </c>
      <c r="J27" t="s">
        <v>312</v>
      </c>
      <c r="K27">
        <v>0.3</v>
      </c>
      <c r="L27">
        <v>1</v>
      </c>
      <c r="M27">
        <f>+foreground_occupation_file_index[[#This Row],[c_res]]*foreground_occupation_file_index[[#This Row],[c_crop]]</f>
        <v>0.3</v>
      </c>
    </row>
    <row r="28" spans="1:13" x14ac:dyDescent="0.35">
      <c r="A28" t="s">
        <v>350</v>
      </c>
      <c r="B28" t="s">
        <v>29</v>
      </c>
      <c r="C28" s="11" t="s">
        <v>476</v>
      </c>
      <c r="D28" t="s">
        <v>105</v>
      </c>
      <c r="E28" t="s">
        <v>87</v>
      </c>
      <c r="F28" t="s">
        <v>90</v>
      </c>
      <c r="G28" t="str">
        <f>+foreground_occupation_file_index[[#This Row],[crop_type]]&amp;"_crop"</f>
        <v>permanent_crop</v>
      </c>
      <c r="H28" t="s">
        <v>432</v>
      </c>
      <c r="I28" t="s">
        <v>307</v>
      </c>
      <c r="J28" t="s">
        <v>312</v>
      </c>
      <c r="K28">
        <v>0.15</v>
      </c>
      <c r="L28">
        <v>1</v>
      </c>
      <c r="M28">
        <f>+foreground_occupation_file_index[[#This Row],[c_res]]*foreground_occupation_file_index[[#This Row],[c_crop]]</f>
        <v>0.15</v>
      </c>
    </row>
    <row r="29" spans="1:13" x14ac:dyDescent="0.35">
      <c r="A29" t="s">
        <v>351</v>
      </c>
      <c r="B29" t="s">
        <v>30</v>
      </c>
      <c r="C29" t="s">
        <v>442</v>
      </c>
      <c r="D29" t="s">
        <v>106</v>
      </c>
      <c r="E29" t="s">
        <v>87</v>
      </c>
      <c r="F29" t="s">
        <v>90</v>
      </c>
      <c r="G29" t="str">
        <f>+foreground_occupation_file_index[[#This Row],[crop_type]]&amp;"_crop"</f>
        <v>annual_crop</v>
      </c>
      <c r="H29" t="s">
        <v>433</v>
      </c>
      <c r="I29" t="s">
        <v>310</v>
      </c>
      <c r="J29" t="s">
        <v>312</v>
      </c>
      <c r="K29">
        <v>0.5</v>
      </c>
      <c r="L29">
        <v>1</v>
      </c>
      <c r="M29">
        <f>+foreground_occupation_file_index[[#This Row],[c_res]]*foreground_occupation_file_index[[#This Row],[c_crop]]</f>
        <v>0.5</v>
      </c>
    </row>
    <row r="30" spans="1:13" x14ac:dyDescent="0.35">
      <c r="A30" t="s">
        <v>352</v>
      </c>
      <c r="B30" t="s">
        <v>31</v>
      </c>
      <c r="C30" t="s">
        <v>443</v>
      </c>
      <c r="D30" t="s">
        <v>217</v>
      </c>
      <c r="E30" t="s">
        <v>87</v>
      </c>
      <c r="F30" t="s">
        <v>85</v>
      </c>
      <c r="G30" t="str">
        <f>+foreground_occupation_file_index[[#This Row],[crop_type]]&amp;"_crop"</f>
        <v>annual_crop</v>
      </c>
      <c r="H30" t="s">
        <v>433</v>
      </c>
      <c r="I30" t="s">
        <v>317</v>
      </c>
      <c r="J30" t="s">
        <v>312</v>
      </c>
      <c r="K30">
        <v>0.25</v>
      </c>
      <c r="L30">
        <f>1-0.12</f>
        <v>0.88</v>
      </c>
      <c r="M30">
        <f>+foreground_occupation_file_index[[#This Row],[c_res]]*foreground_occupation_file_index[[#This Row],[c_crop]]</f>
        <v>0.22</v>
      </c>
    </row>
    <row r="31" spans="1:13" x14ac:dyDescent="0.35">
      <c r="A31" t="s">
        <v>353</v>
      </c>
      <c r="B31" t="s">
        <v>32</v>
      </c>
      <c r="C31" s="11" t="s">
        <v>469</v>
      </c>
      <c r="D31" t="s">
        <v>217</v>
      </c>
      <c r="E31" t="s">
        <v>87</v>
      </c>
      <c r="F31" t="s">
        <v>86</v>
      </c>
      <c r="G31" t="str">
        <f>+foreground_occupation_file_index[[#This Row],[crop_type]]&amp;"_crop"</f>
        <v>annual_crop</v>
      </c>
      <c r="H31" t="s">
        <v>433</v>
      </c>
      <c r="I31" t="s">
        <v>317</v>
      </c>
      <c r="J31" t="s">
        <v>312</v>
      </c>
      <c r="K31">
        <v>0.25</v>
      </c>
      <c r="L31">
        <v>1</v>
      </c>
      <c r="M31">
        <f>+foreground_occupation_file_index[[#This Row],[c_res]]*foreground_occupation_file_index[[#This Row],[c_crop]]</f>
        <v>0.25</v>
      </c>
    </row>
    <row r="32" spans="1:13" x14ac:dyDescent="0.35">
      <c r="A32" t="s">
        <v>354</v>
      </c>
      <c r="B32" t="s">
        <v>33</v>
      </c>
      <c r="C32" t="s">
        <v>417</v>
      </c>
      <c r="D32" t="s">
        <v>107</v>
      </c>
      <c r="E32" t="s">
        <v>87</v>
      </c>
      <c r="F32" t="s">
        <v>90</v>
      </c>
      <c r="G32" t="str">
        <f>+foreground_occupation_file_index[[#This Row],[crop_type]]&amp;"_crop"</f>
        <v>annual_crop</v>
      </c>
      <c r="H32" t="s">
        <v>433</v>
      </c>
      <c r="I32" t="s">
        <v>308</v>
      </c>
      <c r="J32" t="s">
        <v>107</v>
      </c>
      <c r="K32">
        <v>0.15</v>
      </c>
      <c r="L32">
        <v>1</v>
      </c>
      <c r="M32">
        <f>+foreground_occupation_file_index[[#This Row],[c_res]]*foreground_occupation_file_index[[#This Row],[c_crop]]</f>
        <v>0.15</v>
      </c>
    </row>
    <row r="33" spans="1:13" x14ac:dyDescent="0.35">
      <c r="A33" t="s">
        <v>355</v>
      </c>
      <c r="B33" t="s">
        <v>34</v>
      </c>
      <c r="C33" t="s">
        <v>444</v>
      </c>
      <c r="D33" t="s">
        <v>128</v>
      </c>
      <c r="E33" t="s">
        <v>87</v>
      </c>
      <c r="F33" t="s">
        <v>85</v>
      </c>
      <c r="G33" t="str">
        <f>+foreground_occupation_file_index[[#This Row],[crop_type]]&amp;"_crop"</f>
        <v>annual_crop</v>
      </c>
      <c r="H33" t="s">
        <v>433</v>
      </c>
      <c r="I33" t="s">
        <v>318</v>
      </c>
      <c r="J33" t="s">
        <v>319</v>
      </c>
      <c r="K33">
        <v>0.1</v>
      </c>
      <c r="L33">
        <f>1-0.12</f>
        <v>0.88</v>
      </c>
      <c r="M33">
        <f>+foreground_occupation_file_index[[#This Row],[c_res]]*foreground_occupation_file_index[[#This Row],[c_crop]]</f>
        <v>8.8000000000000009E-2</v>
      </c>
    </row>
    <row r="34" spans="1:13" x14ac:dyDescent="0.35">
      <c r="A34" t="s">
        <v>356</v>
      </c>
      <c r="B34" t="s">
        <v>35</v>
      </c>
      <c r="C34" t="s">
        <v>445</v>
      </c>
      <c r="D34" t="s">
        <v>128</v>
      </c>
      <c r="E34" t="s">
        <v>87</v>
      </c>
      <c r="F34" t="s">
        <v>86</v>
      </c>
      <c r="G34" t="str">
        <f>+foreground_occupation_file_index[[#This Row],[crop_type]]&amp;"_crop"</f>
        <v>annual_crop</v>
      </c>
      <c r="H34" t="s">
        <v>433</v>
      </c>
      <c r="I34" t="s">
        <v>318</v>
      </c>
      <c r="J34" t="s">
        <v>319</v>
      </c>
      <c r="K34">
        <v>0.1</v>
      </c>
      <c r="L34">
        <v>1</v>
      </c>
      <c r="M34">
        <f>+foreground_occupation_file_index[[#This Row],[c_res]]*foreground_occupation_file_index[[#This Row],[c_crop]]</f>
        <v>0.1</v>
      </c>
    </row>
    <row r="35" spans="1:13" x14ac:dyDescent="0.35">
      <c r="A35" t="s">
        <v>357</v>
      </c>
      <c r="B35" t="s">
        <v>36</v>
      </c>
      <c r="C35" t="s">
        <v>446</v>
      </c>
      <c r="D35" t="s">
        <v>108</v>
      </c>
      <c r="E35" t="s">
        <v>87</v>
      </c>
      <c r="F35" t="s">
        <v>90</v>
      </c>
      <c r="G35" t="str">
        <f>+foreground_occupation_file_index[[#This Row],[crop_type]]&amp;"_crop"</f>
        <v>annual_crop</v>
      </c>
      <c r="H35" t="s">
        <v>433</v>
      </c>
      <c r="I35" t="s">
        <v>314</v>
      </c>
      <c r="J35" t="s">
        <v>312</v>
      </c>
      <c r="K35">
        <v>0.32</v>
      </c>
      <c r="L35">
        <v>1</v>
      </c>
      <c r="M35">
        <f>+foreground_occupation_file_index[[#This Row],[c_res]]*foreground_occupation_file_index[[#This Row],[c_crop]]</f>
        <v>0.32</v>
      </c>
    </row>
    <row r="36" spans="1:13" x14ac:dyDescent="0.35">
      <c r="A36" t="s">
        <v>358</v>
      </c>
      <c r="B36" t="s">
        <v>37</v>
      </c>
      <c r="C36" t="s">
        <v>447</v>
      </c>
      <c r="D36" t="s">
        <v>109</v>
      </c>
      <c r="E36" t="s">
        <v>87</v>
      </c>
      <c r="F36" t="s">
        <v>90</v>
      </c>
      <c r="G36" t="str">
        <f>+foreground_occupation_file_index[[#This Row],[crop_type]]&amp;"_crop"</f>
        <v>annual_crop</v>
      </c>
      <c r="H36" t="s">
        <v>433</v>
      </c>
      <c r="I36" t="s">
        <v>310</v>
      </c>
      <c r="J36" t="s">
        <v>312</v>
      </c>
      <c r="K36">
        <v>0.5</v>
      </c>
      <c r="L36">
        <v>1</v>
      </c>
      <c r="M36">
        <f>+foreground_occupation_file_index[[#This Row],[c_res]]*foreground_occupation_file_index[[#This Row],[c_crop]]</f>
        <v>0.5</v>
      </c>
    </row>
    <row r="37" spans="1:13" x14ac:dyDescent="0.35">
      <c r="A37" t="s">
        <v>359</v>
      </c>
      <c r="B37" t="s">
        <v>38</v>
      </c>
      <c r="C37" s="11" t="s">
        <v>477</v>
      </c>
      <c r="D37" t="s">
        <v>110</v>
      </c>
      <c r="E37" t="s">
        <v>87</v>
      </c>
      <c r="F37" t="s">
        <v>90</v>
      </c>
      <c r="G37" t="str">
        <f>+foreground_occupation_file_index[[#This Row],[crop_type]]&amp;"_crop"</f>
        <v>permanent_crop</v>
      </c>
      <c r="H37" t="s">
        <v>432</v>
      </c>
      <c r="I37" t="s">
        <v>320</v>
      </c>
      <c r="J37" t="s">
        <v>320</v>
      </c>
      <c r="K37">
        <v>0.15</v>
      </c>
      <c r="L37">
        <v>1</v>
      </c>
      <c r="M37">
        <f>+foreground_occupation_file_index[[#This Row],[c_res]]*foreground_occupation_file_index[[#This Row],[c_crop]]</f>
        <v>0.15</v>
      </c>
    </row>
    <row r="38" spans="1:13" x14ac:dyDescent="0.35">
      <c r="A38" t="s">
        <v>360</v>
      </c>
      <c r="B38" t="s">
        <v>39</v>
      </c>
      <c r="C38" s="11" t="s">
        <v>448</v>
      </c>
      <c r="D38" t="s">
        <v>111</v>
      </c>
      <c r="E38" t="s">
        <v>87</v>
      </c>
      <c r="F38" t="s">
        <v>90</v>
      </c>
      <c r="G38" t="str">
        <f>+foreground_occupation_file_index[[#This Row],[crop_type]]&amp;"_crop"</f>
        <v>annual_crop</v>
      </c>
      <c r="H38" t="s">
        <v>433</v>
      </c>
      <c r="I38" t="s">
        <v>317</v>
      </c>
      <c r="J38" t="s">
        <v>312</v>
      </c>
      <c r="K38">
        <v>0.25</v>
      </c>
      <c r="L38">
        <v>1</v>
      </c>
      <c r="M38">
        <f>+foreground_occupation_file_index[[#This Row],[c_res]]*foreground_occupation_file_index[[#This Row],[c_crop]]</f>
        <v>0.25</v>
      </c>
    </row>
    <row r="39" spans="1:13" x14ac:dyDescent="0.35">
      <c r="A39" t="s">
        <v>361</v>
      </c>
      <c r="B39" t="s">
        <v>40</v>
      </c>
      <c r="C39" t="s">
        <v>449</v>
      </c>
      <c r="D39" t="s">
        <v>112</v>
      </c>
      <c r="E39" t="s">
        <v>87</v>
      </c>
      <c r="F39" t="s">
        <v>90</v>
      </c>
      <c r="G39" t="str">
        <f>+foreground_occupation_file_index[[#This Row],[crop_type]]&amp;"_crop"</f>
        <v>annual_crop</v>
      </c>
      <c r="H39" t="s">
        <v>433</v>
      </c>
      <c r="I39" t="s">
        <v>310</v>
      </c>
      <c r="J39" t="s">
        <v>312</v>
      </c>
      <c r="K39">
        <v>0.5</v>
      </c>
      <c r="L39">
        <v>1</v>
      </c>
      <c r="M39">
        <f>+foreground_occupation_file_index[[#This Row],[c_res]]*foreground_occupation_file_index[[#This Row],[c_crop]]</f>
        <v>0.5</v>
      </c>
    </row>
    <row r="40" spans="1:13" x14ac:dyDescent="0.35">
      <c r="A40" t="s">
        <v>362</v>
      </c>
      <c r="B40" t="s">
        <v>41</v>
      </c>
      <c r="C40" t="s">
        <v>450</v>
      </c>
      <c r="D40" t="s">
        <v>113</v>
      </c>
      <c r="E40" t="s">
        <v>87</v>
      </c>
      <c r="F40" t="s">
        <v>90</v>
      </c>
      <c r="G40" t="str">
        <f>+foreground_occupation_file_index[[#This Row],[crop_type]]&amp;"_crop"</f>
        <v>annual_crop</v>
      </c>
      <c r="H40" t="s">
        <v>433</v>
      </c>
      <c r="I40" t="s">
        <v>309</v>
      </c>
      <c r="J40" t="s">
        <v>113</v>
      </c>
      <c r="K40">
        <v>0.5</v>
      </c>
      <c r="L40">
        <v>1</v>
      </c>
      <c r="M40">
        <f>+foreground_occupation_file_index[[#This Row],[c_res]]*foreground_occupation_file_index[[#This Row],[c_crop]]</f>
        <v>0.5</v>
      </c>
    </row>
    <row r="41" spans="1:13" x14ac:dyDescent="0.35">
      <c r="A41" t="s">
        <v>363</v>
      </c>
      <c r="B41" t="s">
        <v>42</v>
      </c>
      <c r="C41" t="s">
        <v>451</v>
      </c>
      <c r="D41" t="s">
        <v>114</v>
      </c>
      <c r="E41" t="s">
        <v>87</v>
      </c>
      <c r="F41" t="s">
        <v>90</v>
      </c>
      <c r="G41" t="str">
        <f>+foreground_occupation_file_index[[#This Row],[crop_type]]&amp;"_crop"</f>
        <v>annual_crop</v>
      </c>
      <c r="H41" t="s">
        <v>433</v>
      </c>
      <c r="I41" t="s">
        <v>321</v>
      </c>
      <c r="J41" t="s">
        <v>312</v>
      </c>
      <c r="K41">
        <v>0.25</v>
      </c>
      <c r="L41">
        <v>1</v>
      </c>
      <c r="M41">
        <f>+foreground_occupation_file_index[[#This Row],[c_res]]*foreground_occupation_file_index[[#This Row],[c_crop]]</f>
        <v>0.25</v>
      </c>
    </row>
    <row r="42" spans="1:13" x14ac:dyDescent="0.35">
      <c r="A42" t="s">
        <v>364</v>
      </c>
      <c r="B42" t="s">
        <v>43</v>
      </c>
      <c r="C42" t="s">
        <v>452</v>
      </c>
      <c r="D42" t="s">
        <v>84</v>
      </c>
      <c r="E42" t="s">
        <v>87</v>
      </c>
      <c r="F42" t="s">
        <v>85</v>
      </c>
      <c r="G42" t="str">
        <f>+foreground_occupation_file_index[[#This Row],[crop_type]]&amp;"_crop"</f>
        <v>annual_crop</v>
      </c>
      <c r="H42" t="s">
        <v>433</v>
      </c>
      <c r="I42" t="s">
        <v>308</v>
      </c>
      <c r="J42" t="s">
        <v>312</v>
      </c>
      <c r="K42">
        <v>0.2</v>
      </c>
      <c r="L42">
        <f>1-0.12</f>
        <v>0.88</v>
      </c>
      <c r="M42">
        <f>+foreground_occupation_file_index[[#This Row],[c_res]]*foreground_occupation_file_index[[#This Row],[c_crop]]</f>
        <v>0.17600000000000002</v>
      </c>
    </row>
    <row r="43" spans="1:13" x14ac:dyDescent="0.35">
      <c r="A43" t="s">
        <v>365</v>
      </c>
      <c r="B43" t="s">
        <v>44</v>
      </c>
      <c r="C43" t="s">
        <v>452</v>
      </c>
      <c r="D43" t="s">
        <v>84</v>
      </c>
      <c r="E43" t="s">
        <v>87</v>
      </c>
      <c r="F43" t="s">
        <v>86</v>
      </c>
      <c r="G43" t="str">
        <f>+foreground_occupation_file_index[[#This Row],[crop_type]]&amp;"_crop"</f>
        <v>annual_crop</v>
      </c>
      <c r="H43" t="s">
        <v>433</v>
      </c>
      <c r="I43" t="s">
        <v>308</v>
      </c>
      <c r="J43" t="s">
        <v>312</v>
      </c>
      <c r="K43">
        <v>0.2</v>
      </c>
      <c r="L43">
        <v>1</v>
      </c>
      <c r="M43">
        <f>+foreground_occupation_file_index[[#This Row],[c_res]]*foreground_occupation_file_index[[#This Row],[c_crop]]</f>
        <v>0.2</v>
      </c>
    </row>
    <row r="44" spans="1:13" x14ac:dyDescent="0.35">
      <c r="A44" t="s">
        <v>366</v>
      </c>
      <c r="B44" t="s">
        <v>45</v>
      </c>
      <c r="C44" t="s">
        <v>418</v>
      </c>
      <c r="D44" t="s">
        <v>115</v>
      </c>
      <c r="E44" t="s">
        <v>90</v>
      </c>
      <c r="F44" t="s">
        <v>90</v>
      </c>
      <c r="G44" t="s">
        <v>322</v>
      </c>
      <c r="I44" t="s">
        <v>322</v>
      </c>
      <c r="J44" t="s">
        <v>323</v>
      </c>
      <c r="K44">
        <v>1E-4</v>
      </c>
      <c r="L44">
        <v>1</v>
      </c>
      <c r="M44">
        <f>+foreground_occupation_file_index[[#This Row],[c_res]]*foreground_occupation_file_index[[#This Row],[c_crop]]</f>
        <v>1E-4</v>
      </c>
    </row>
    <row r="45" spans="1:13" x14ac:dyDescent="0.35">
      <c r="A45" t="s">
        <v>367</v>
      </c>
      <c r="B45" t="s">
        <v>46</v>
      </c>
      <c r="C45" t="s">
        <v>419</v>
      </c>
      <c r="D45" t="s">
        <v>116</v>
      </c>
      <c r="E45" t="s">
        <v>90</v>
      </c>
      <c r="F45" t="s">
        <v>90</v>
      </c>
      <c r="G45" t="s">
        <v>322</v>
      </c>
      <c r="I45" t="s">
        <v>322</v>
      </c>
      <c r="J45" t="s">
        <v>323</v>
      </c>
      <c r="K45">
        <v>1E-4</v>
      </c>
      <c r="L45">
        <v>1</v>
      </c>
      <c r="M45">
        <f>+foreground_occupation_file_index[[#This Row],[c_res]]*foreground_occupation_file_index[[#This Row],[c_crop]]</f>
        <v>1E-4</v>
      </c>
    </row>
    <row r="46" spans="1:13" x14ac:dyDescent="0.35">
      <c r="A46" t="s">
        <v>368</v>
      </c>
      <c r="B46" t="s">
        <v>47</v>
      </c>
      <c r="C46" t="s">
        <v>420</v>
      </c>
      <c r="D46" t="s">
        <v>117</v>
      </c>
      <c r="E46" t="s">
        <v>90</v>
      </c>
      <c r="F46" t="s">
        <v>90</v>
      </c>
      <c r="G46" t="s">
        <v>322</v>
      </c>
      <c r="I46" t="s">
        <v>322</v>
      </c>
      <c r="J46" t="s">
        <v>323</v>
      </c>
      <c r="K46">
        <v>1E-4</v>
      </c>
      <c r="L46">
        <v>1</v>
      </c>
      <c r="M46">
        <f>+foreground_occupation_file_index[[#This Row],[c_res]]*foreground_occupation_file_index[[#This Row],[c_crop]]</f>
        <v>1E-4</v>
      </c>
    </row>
    <row r="47" spans="1:13" x14ac:dyDescent="0.35">
      <c r="A47" t="s">
        <v>369</v>
      </c>
      <c r="B47" t="s">
        <v>48</v>
      </c>
      <c r="C47" t="s">
        <v>421</v>
      </c>
      <c r="D47" t="s">
        <v>118</v>
      </c>
      <c r="E47" t="s">
        <v>90</v>
      </c>
      <c r="F47" t="s">
        <v>90</v>
      </c>
      <c r="G47" t="s">
        <v>322</v>
      </c>
      <c r="I47" t="s">
        <v>322</v>
      </c>
      <c r="J47" t="s">
        <v>323</v>
      </c>
      <c r="K47">
        <v>1E-4</v>
      </c>
      <c r="L47">
        <v>1</v>
      </c>
      <c r="M47">
        <f>+foreground_occupation_file_index[[#This Row],[c_res]]*foreground_occupation_file_index[[#This Row],[c_crop]]</f>
        <v>1E-4</v>
      </c>
    </row>
    <row r="48" spans="1:13" x14ac:dyDescent="0.35">
      <c r="A48" t="s">
        <v>370</v>
      </c>
      <c r="B48" t="s">
        <v>49</v>
      </c>
      <c r="C48" t="s">
        <v>422</v>
      </c>
      <c r="D48" t="s">
        <v>119</v>
      </c>
      <c r="E48" t="s">
        <v>90</v>
      </c>
      <c r="F48" t="s">
        <v>90</v>
      </c>
      <c r="G48" t="s">
        <v>322</v>
      </c>
      <c r="I48" t="s">
        <v>322</v>
      </c>
      <c r="J48" t="s">
        <v>323</v>
      </c>
      <c r="K48">
        <v>1E-4</v>
      </c>
      <c r="L48">
        <v>1</v>
      </c>
      <c r="M48">
        <f>+foreground_occupation_file_index[[#This Row],[c_res]]*foreground_occupation_file_index[[#This Row],[c_crop]]</f>
        <v>1E-4</v>
      </c>
    </row>
    <row r="49" spans="1:13" x14ac:dyDescent="0.35">
      <c r="A49" t="s">
        <v>371</v>
      </c>
      <c r="B49" t="s">
        <v>50</v>
      </c>
      <c r="C49" t="s">
        <v>423</v>
      </c>
      <c r="D49" t="s">
        <v>120</v>
      </c>
      <c r="E49" t="s">
        <v>90</v>
      </c>
      <c r="F49" t="s">
        <v>90</v>
      </c>
      <c r="G49" t="s">
        <v>322</v>
      </c>
      <c r="I49" t="s">
        <v>322</v>
      </c>
      <c r="J49" t="s">
        <v>323</v>
      </c>
      <c r="K49">
        <v>1E-4</v>
      </c>
      <c r="L49">
        <v>1</v>
      </c>
      <c r="M49">
        <f>+foreground_occupation_file_index[[#This Row],[c_res]]*foreground_occupation_file_index[[#This Row],[c_crop]]</f>
        <v>1E-4</v>
      </c>
    </row>
    <row r="50" spans="1:13" x14ac:dyDescent="0.35">
      <c r="A50" t="s">
        <v>372</v>
      </c>
      <c r="B50" t="s">
        <v>51</v>
      </c>
      <c r="C50" t="s">
        <v>424</v>
      </c>
      <c r="D50" t="s">
        <v>121</v>
      </c>
      <c r="E50" t="s">
        <v>90</v>
      </c>
      <c r="F50" t="s">
        <v>90</v>
      </c>
      <c r="G50" t="s">
        <v>322</v>
      </c>
      <c r="I50" t="s">
        <v>322</v>
      </c>
      <c r="J50" t="s">
        <v>323</v>
      </c>
      <c r="K50">
        <v>1E-4</v>
      </c>
      <c r="L50">
        <v>1</v>
      </c>
      <c r="M50">
        <f>+foreground_occupation_file_index[[#This Row],[c_res]]*foreground_occupation_file_index[[#This Row],[c_crop]]</f>
        <v>1E-4</v>
      </c>
    </row>
    <row r="51" spans="1:13" x14ac:dyDescent="0.35">
      <c r="A51" t="s">
        <v>373</v>
      </c>
      <c r="B51" t="s">
        <v>52</v>
      </c>
      <c r="C51" t="s">
        <v>425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permanent_crop</v>
      </c>
      <c r="H51" t="s">
        <v>432</v>
      </c>
      <c r="I51" t="str">
        <f>+_xlfn.XLOOKUP($D51,$D$11:$D$43,I$11:I$43,"missing",0)</f>
        <v>Fruit_Trees</v>
      </c>
      <c r="J51" t="str">
        <f t="shared" ref="J51:K66" si="0">+_xlfn.XLOOKUP($D51,$D$11:$D$43,J$11:J$43,"missing",0)</f>
        <v>Various</v>
      </c>
      <c r="K51">
        <f t="shared" si="0"/>
        <v>0.15</v>
      </c>
      <c r="L51">
        <v>1</v>
      </c>
      <c r="M51">
        <f>+foreground_occupation_file_index[[#This Row],[c_res]]*foreground_occupation_file_index[[#This Row],[c_crop]]</f>
        <v>0.15</v>
      </c>
    </row>
    <row r="52" spans="1:13" x14ac:dyDescent="0.35">
      <c r="A52" t="s">
        <v>374</v>
      </c>
      <c r="B52" t="s">
        <v>53</v>
      </c>
      <c r="C52" s="11" t="s">
        <v>478</v>
      </c>
      <c r="D52" t="s">
        <v>93</v>
      </c>
      <c r="E52" t="s">
        <v>91</v>
      </c>
      <c r="F52" t="s">
        <v>90</v>
      </c>
      <c r="G52" t="str">
        <f t="shared" ref="G52:K67" si="1">+_xlfn.XLOOKUP($D52,$D$11:$D$43,G$11:G$43,"missing",0)</f>
        <v>permanent_crop</v>
      </c>
      <c r="H52" t="s">
        <v>432</v>
      </c>
      <c r="I52" t="str">
        <f t="shared" si="1"/>
        <v>Fruit_Trees</v>
      </c>
      <c r="J52" t="str">
        <f t="shared" si="0"/>
        <v>Various</v>
      </c>
      <c r="K52">
        <f t="shared" si="0"/>
        <v>0.15</v>
      </c>
      <c r="L52">
        <v>1</v>
      </c>
      <c r="M52">
        <f>+foreground_occupation_file_index[[#This Row],[c_res]]*foreground_occupation_file_index[[#This Row],[c_crop]]</f>
        <v>0.15</v>
      </c>
    </row>
    <row r="53" spans="1:13" x14ac:dyDescent="0.35">
      <c r="A53" t="s">
        <v>375</v>
      </c>
      <c r="B53" t="s">
        <v>54</v>
      </c>
      <c r="C53" t="s">
        <v>453</v>
      </c>
      <c r="D53" t="s">
        <v>127</v>
      </c>
      <c r="E53" t="s">
        <v>91</v>
      </c>
      <c r="F53" t="s">
        <v>85</v>
      </c>
      <c r="G53" t="str">
        <f t="shared" si="1"/>
        <v>annual_crop</v>
      </c>
      <c r="H53" t="s">
        <v>433</v>
      </c>
      <c r="I53" t="str">
        <f t="shared" si="1"/>
        <v>Cereals</v>
      </c>
      <c r="J53" t="str">
        <f t="shared" si="0"/>
        <v>Various</v>
      </c>
      <c r="K53">
        <f t="shared" si="0"/>
        <v>0.2</v>
      </c>
      <c r="L53">
        <f>1-0.12</f>
        <v>0.88</v>
      </c>
      <c r="M53">
        <f>+foreground_occupation_file_index[[#This Row],[c_res]]*foreground_occupation_file_index[[#This Row],[c_crop]]</f>
        <v>0.17600000000000002</v>
      </c>
    </row>
    <row r="54" spans="1:13" x14ac:dyDescent="0.35">
      <c r="A54" t="s">
        <v>376</v>
      </c>
      <c r="B54" t="s">
        <v>55</v>
      </c>
      <c r="C54" t="s">
        <v>454</v>
      </c>
      <c r="D54" t="s">
        <v>127</v>
      </c>
      <c r="E54" t="s">
        <v>91</v>
      </c>
      <c r="F54" t="s">
        <v>86</v>
      </c>
      <c r="G54" t="str">
        <f t="shared" si="1"/>
        <v>annual_crop</v>
      </c>
      <c r="H54" t="s">
        <v>433</v>
      </c>
      <c r="I54" t="str">
        <f t="shared" si="1"/>
        <v>Cereals</v>
      </c>
      <c r="J54" t="str">
        <f t="shared" si="0"/>
        <v>Various</v>
      </c>
      <c r="K54">
        <f t="shared" si="0"/>
        <v>0.2</v>
      </c>
      <c r="L54">
        <v>1</v>
      </c>
      <c r="M54">
        <f>+foreground_occupation_file_index[[#This Row],[c_res]]*foreground_occupation_file_index[[#This Row],[c_crop]]</f>
        <v>0.2</v>
      </c>
    </row>
    <row r="55" spans="1:13" x14ac:dyDescent="0.35">
      <c r="A55" t="s">
        <v>377</v>
      </c>
      <c r="B55" t="s">
        <v>56</v>
      </c>
      <c r="C55" s="11" t="s">
        <v>479</v>
      </c>
      <c r="D55" t="s">
        <v>96</v>
      </c>
      <c r="E55" t="s">
        <v>91</v>
      </c>
      <c r="F55" t="s">
        <v>90</v>
      </c>
      <c r="G55" t="str">
        <f t="shared" si="1"/>
        <v>permanent_crop</v>
      </c>
      <c r="H55" t="s">
        <v>432</v>
      </c>
      <c r="I55" t="str">
        <f t="shared" si="1"/>
        <v>Fruit_Trees</v>
      </c>
      <c r="J55" t="str">
        <f t="shared" si="0"/>
        <v>Various</v>
      </c>
      <c r="K55">
        <f t="shared" si="0"/>
        <v>0.15</v>
      </c>
      <c r="L55">
        <v>1</v>
      </c>
      <c r="M55">
        <f>+foreground_occupation_file_index[[#This Row],[c_res]]*foreground_occupation_file_index[[#This Row],[c_crop]]</f>
        <v>0.15</v>
      </c>
    </row>
    <row r="56" spans="1:13" x14ac:dyDescent="0.35">
      <c r="A56" t="s">
        <v>378</v>
      </c>
      <c r="B56" t="s">
        <v>57</v>
      </c>
      <c r="C56" s="11" t="s">
        <v>480</v>
      </c>
      <c r="D56" t="s">
        <v>97</v>
      </c>
      <c r="E56" t="s">
        <v>91</v>
      </c>
      <c r="F56" t="s">
        <v>90</v>
      </c>
      <c r="G56" t="str">
        <f t="shared" si="1"/>
        <v>permanent_crop</v>
      </c>
      <c r="H56" t="s">
        <v>432</v>
      </c>
      <c r="I56" t="str">
        <f t="shared" si="1"/>
        <v>Fruit_Trees</v>
      </c>
      <c r="J56" t="str">
        <f t="shared" si="0"/>
        <v>Various</v>
      </c>
      <c r="K56">
        <f t="shared" si="0"/>
        <v>0.15</v>
      </c>
      <c r="L56">
        <v>1</v>
      </c>
      <c r="M56">
        <f>+foreground_occupation_file_index[[#This Row],[c_res]]*foreground_occupation_file_index[[#This Row],[c_crop]]</f>
        <v>0.15</v>
      </c>
    </row>
    <row r="57" spans="1:13" x14ac:dyDescent="0.35">
      <c r="A57" t="s">
        <v>379</v>
      </c>
      <c r="B57" t="s">
        <v>58</v>
      </c>
      <c r="C57" s="11" t="s">
        <v>481</v>
      </c>
      <c r="D57" t="s">
        <v>98</v>
      </c>
      <c r="E57" t="s">
        <v>91</v>
      </c>
      <c r="F57" t="s">
        <v>90</v>
      </c>
      <c r="G57" t="str">
        <f t="shared" si="1"/>
        <v>permanent_crop</v>
      </c>
      <c r="H57" t="s">
        <v>432</v>
      </c>
      <c r="I57" t="str">
        <f t="shared" si="1"/>
        <v>Coffee</v>
      </c>
      <c r="J57" t="str">
        <f t="shared" si="0"/>
        <v>Coffee</v>
      </c>
      <c r="K57">
        <f t="shared" si="0"/>
        <v>0.2</v>
      </c>
      <c r="L57">
        <v>1</v>
      </c>
      <c r="M57">
        <f>+foreground_occupation_file_index[[#This Row],[c_res]]*foreground_occupation_file_index[[#This Row],[c_crop]]</f>
        <v>0.2</v>
      </c>
    </row>
    <row r="58" spans="1:13" x14ac:dyDescent="0.35">
      <c r="A58" t="s">
        <v>380</v>
      </c>
      <c r="B58" t="s">
        <v>59</v>
      </c>
      <c r="C58" t="s">
        <v>455</v>
      </c>
      <c r="D58" t="s">
        <v>99</v>
      </c>
      <c r="E58" t="s">
        <v>91</v>
      </c>
      <c r="F58" t="s">
        <v>90</v>
      </c>
      <c r="G58" t="str">
        <f t="shared" si="1"/>
        <v>annual_crop</v>
      </c>
      <c r="H58" t="s">
        <v>433</v>
      </c>
      <c r="I58" t="str">
        <f t="shared" si="1"/>
        <v>Cotton</v>
      </c>
      <c r="J58" t="str">
        <f t="shared" si="0"/>
        <v>Cotton</v>
      </c>
      <c r="K58">
        <f t="shared" si="0"/>
        <v>0.4</v>
      </c>
      <c r="L58">
        <v>1</v>
      </c>
      <c r="M58">
        <f>+foreground_occupation_file_index[[#This Row],[c_res]]*foreground_occupation_file_index[[#This Row],[c_crop]]</f>
        <v>0.4</v>
      </c>
    </row>
    <row r="59" spans="1:13" x14ac:dyDescent="0.35">
      <c r="A59" t="s">
        <v>381</v>
      </c>
      <c r="B59" t="s">
        <v>60</v>
      </c>
      <c r="C59" t="s">
        <v>426</v>
      </c>
      <c r="D59" t="s">
        <v>100</v>
      </c>
      <c r="E59" t="s">
        <v>91</v>
      </c>
      <c r="F59" t="s">
        <v>90</v>
      </c>
      <c r="G59" t="str">
        <f t="shared" si="1"/>
        <v>permanent_crop</v>
      </c>
      <c r="H59" t="s">
        <v>432</v>
      </c>
      <c r="I59" t="str">
        <f t="shared" si="1"/>
        <v>GrapesAndHops</v>
      </c>
      <c r="J59" t="str">
        <f t="shared" si="0"/>
        <v>Grapes</v>
      </c>
      <c r="K59">
        <f>+_xlfn.XLOOKUP($D59,$D$11:$D$43,K$11:K$43,"missing",0)</f>
        <v>0.35</v>
      </c>
      <c r="L59">
        <v>1</v>
      </c>
      <c r="M59">
        <f>+foreground_occupation_file_index[[#This Row],[c_res]]*foreground_occupation_file_index[[#This Row],[c_crop]]</f>
        <v>0.35</v>
      </c>
    </row>
    <row r="60" spans="1:13" x14ac:dyDescent="0.35">
      <c r="A60" t="s">
        <v>382</v>
      </c>
      <c r="B60" t="s">
        <v>61</v>
      </c>
      <c r="C60" s="11" t="s">
        <v>468</v>
      </c>
      <c r="D60" t="s">
        <v>101</v>
      </c>
      <c r="E60" t="s">
        <v>91</v>
      </c>
      <c r="F60" t="s">
        <v>90</v>
      </c>
      <c r="G60" t="str">
        <f t="shared" si="1"/>
        <v>annual_crop</v>
      </c>
      <c r="H60" t="s">
        <v>433</v>
      </c>
      <c r="I60" t="str">
        <f t="shared" si="1"/>
        <v>Vegetables_Legume</v>
      </c>
      <c r="J60" t="str">
        <f t="shared" si="0"/>
        <v>Various</v>
      </c>
      <c r="K60">
        <f t="shared" si="0"/>
        <v>0.32</v>
      </c>
      <c r="L60">
        <v>1</v>
      </c>
      <c r="M60">
        <f>+foreground_occupation_file_index[[#This Row],[c_res]]*foreground_occupation_file_index[[#This Row],[c_crop]]</f>
        <v>0.32</v>
      </c>
    </row>
    <row r="61" spans="1:13" x14ac:dyDescent="0.35">
      <c r="A61" t="s">
        <v>383</v>
      </c>
      <c r="B61" t="s">
        <v>62</v>
      </c>
      <c r="C61" s="11" t="s">
        <v>456</v>
      </c>
      <c r="D61" t="s">
        <v>138</v>
      </c>
      <c r="E61" t="s">
        <v>91</v>
      </c>
      <c r="F61" t="s">
        <v>85</v>
      </c>
      <c r="G61" t="str">
        <f t="shared" si="1"/>
        <v>annual_crop</v>
      </c>
      <c r="H61" t="s">
        <v>433</v>
      </c>
      <c r="I61" t="str">
        <f t="shared" si="1"/>
        <v>Cereals</v>
      </c>
      <c r="J61" t="str">
        <f t="shared" si="0"/>
        <v>Maize</v>
      </c>
      <c r="K61">
        <f t="shared" si="0"/>
        <v>0.38</v>
      </c>
      <c r="L61">
        <f>1-0.12</f>
        <v>0.88</v>
      </c>
      <c r="M61">
        <f>+foreground_occupation_file_index[[#This Row],[c_res]]*foreground_occupation_file_index[[#This Row],[c_crop]]</f>
        <v>0.33440000000000003</v>
      </c>
    </row>
    <row r="62" spans="1:13" x14ac:dyDescent="0.35">
      <c r="A62" t="s">
        <v>384</v>
      </c>
      <c r="B62" t="s">
        <v>63</v>
      </c>
      <c r="C62" s="11" t="s">
        <v>456</v>
      </c>
      <c r="D62" t="s">
        <v>138</v>
      </c>
      <c r="E62" t="s">
        <v>91</v>
      </c>
      <c r="F62" t="s">
        <v>86</v>
      </c>
      <c r="G62" t="str">
        <f t="shared" si="1"/>
        <v>annual_crop</v>
      </c>
      <c r="H62" t="s">
        <v>433</v>
      </c>
      <c r="I62" t="str">
        <f t="shared" si="1"/>
        <v>Cereals</v>
      </c>
      <c r="J62" t="str">
        <f t="shared" si="0"/>
        <v>Maize</v>
      </c>
      <c r="K62">
        <f t="shared" si="0"/>
        <v>0.38</v>
      </c>
      <c r="L62">
        <v>1</v>
      </c>
      <c r="M62">
        <f>+foreground_occupation_file_index[[#This Row],[c_res]]*foreground_occupation_file_index[[#This Row],[c_crop]]</f>
        <v>0.38</v>
      </c>
    </row>
    <row r="63" spans="1:13" x14ac:dyDescent="0.35">
      <c r="A63" t="s">
        <v>385</v>
      </c>
      <c r="B63" t="s">
        <v>64</v>
      </c>
      <c r="C63" s="11" t="s">
        <v>482</v>
      </c>
      <c r="D63" t="s">
        <v>102</v>
      </c>
      <c r="E63" t="s">
        <v>91</v>
      </c>
      <c r="F63" t="s">
        <v>90</v>
      </c>
      <c r="G63" t="str">
        <f t="shared" si="1"/>
        <v>permanent_crop</v>
      </c>
      <c r="H63" t="s">
        <v>432</v>
      </c>
      <c r="I63" t="str">
        <f t="shared" si="1"/>
        <v>Fruit_Trees</v>
      </c>
      <c r="J63" t="str">
        <f t="shared" si="0"/>
        <v>Various</v>
      </c>
      <c r="K63">
        <f t="shared" si="0"/>
        <v>0.15</v>
      </c>
      <c r="L63">
        <v>1</v>
      </c>
      <c r="M63">
        <f>+foreground_occupation_file_index[[#This Row],[c_res]]*foreground_occupation_file_index[[#This Row],[c_crop]]</f>
        <v>0.15</v>
      </c>
    </row>
    <row r="64" spans="1:13" x14ac:dyDescent="0.35">
      <c r="A64" t="s">
        <v>386</v>
      </c>
      <c r="B64" t="s">
        <v>65</v>
      </c>
      <c r="C64" s="11" t="s">
        <v>483</v>
      </c>
      <c r="D64" t="s">
        <v>103</v>
      </c>
      <c r="E64" t="s">
        <v>91</v>
      </c>
      <c r="F64" t="s">
        <v>90</v>
      </c>
      <c r="G64" t="str">
        <f t="shared" si="1"/>
        <v>permanent_crop</v>
      </c>
      <c r="H64" t="s">
        <v>432</v>
      </c>
      <c r="I64" t="str">
        <f t="shared" si="1"/>
        <v>Fruit_Trees</v>
      </c>
      <c r="J64" t="str">
        <f t="shared" si="0"/>
        <v>Various</v>
      </c>
      <c r="K64">
        <f t="shared" si="0"/>
        <v>0.15</v>
      </c>
      <c r="L64">
        <v>1</v>
      </c>
      <c r="M64">
        <f>+foreground_occupation_file_index[[#This Row],[c_res]]*foreground_occupation_file_index[[#This Row],[c_crop]]</f>
        <v>0.15</v>
      </c>
    </row>
    <row r="65" spans="1:13" x14ac:dyDescent="0.35">
      <c r="A65" t="s">
        <v>387</v>
      </c>
      <c r="B65" t="s">
        <v>66</v>
      </c>
      <c r="C65" s="11" t="s">
        <v>484</v>
      </c>
      <c r="D65" t="s">
        <v>105</v>
      </c>
      <c r="E65" t="s">
        <v>91</v>
      </c>
      <c r="F65" t="s">
        <v>90</v>
      </c>
      <c r="G65" t="str">
        <f t="shared" si="1"/>
        <v>permanent_crop</v>
      </c>
      <c r="H65" t="s">
        <v>432</v>
      </c>
      <c r="I65" t="str">
        <f t="shared" si="1"/>
        <v>Fruit_Trees</v>
      </c>
      <c r="J65" t="str">
        <f t="shared" si="0"/>
        <v>Various</v>
      </c>
      <c r="K65">
        <f t="shared" si="0"/>
        <v>0.15</v>
      </c>
      <c r="L65">
        <v>1</v>
      </c>
      <c r="M65">
        <f>+foreground_occupation_file_index[[#This Row],[c_res]]*foreground_occupation_file_index[[#This Row],[c_crop]]</f>
        <v>0.15</v>
      </c>
    </row>
    <row r="66" spans="1:13" x14ac:dyDescent="0.35">
      <c r="A66" t="s">
        <v>388</v>
      </c>
      <c r="B66" t="s">
        <v>67</v>
      </c>
      <c r="C66" s="11" t="s">
        <v>457</v>
      </c>
      <c r="D66" t="s">
        <v>106</v>
      </c>
      <c r="E66" t="s">
        <v>91</v>
      </c>
      <c r="F66" t="s">
        <v>90</v>
      </c>
      <c r="G66" t="str">
        <f t="shared" si="1"/>
        <v>annual_crop</v>
      </c>
      <c r="H66" t="s">
        <v>433</v>
      </c>
      <c r="I66" t="str">
        <f t="shared" si="1"/>
        <v>Vegetables_RootandTuber</v>
      </c>
      <c r="J66" t="str">
        <f t="shared" si="0"/>
        <v>Various</v>
      </c>
      <c r="K66">
        <f t="shared" si="0"/>
        <v>0.5</v>
      </c>
      <c r="L66">
        <v>1</v>
      </c>
      <c r="M66">
        <f>+foreground_occupation_file_index[[#This Row],[c_res]]*foreground_occupation_file_index[[#This Row],[c_crop]]</f>
        <v>0.5</v>
      </c>
    </row>
    <row r="67" spans="1:13" x14ac:dyDescent="0.35">
      <c r="A67" t="s">
        <v>389</v>
      </c>
      <c r="B67" t="s">
        <v>68</v>
      </c>
      <c r="C67" s="11" t="s">
        <v>458</v>
      </c>
      <c r="D67" t="s">
        <v>217</v>
      </c>
      <c r="E67" t="s">
        <v>91</v>
      </c>
      <c r="F67" t="s">
        <v>85</v>
      </c>
      <c r="G67" t="str">
        <f t="shared" si="1"/>
        <v>annual_crop</v>
      </c>
      <c r="H67" t="s">
        <v>433</v>
      </c>
      <c r="I67" t="str">
        <f t="shared" si="1"/>
        <v>Oilseed</v>
      </c>
      <c r="J67" t="str">
        <f t="shared" si="1"/>
        <v>Various</v>
      </c>
      <c r="K67">
        <f t="shared" si="1"/>
        <v>0.25</v>
      </c>
      <c r="L67">
        <f>1-0.12</f>
        <v>0.88</v>
      </c>
      <c r="M67">
        <f>+foreground_occupation_file_index[[#This Row],[c_res]]*foreground_occupation_file_index[[#This Row],[c_crop]]</f>
        <v>0.22</v>
      </c>
    </row>
    <row r="68" spans="1:13" x14ac:dyDescent="0.35">
      <c r="A68" t="s">
        <v>390</v>
      </c>
      <c r="B68" t="s">
        <v>69</v>
      </c>
      <c r="C68" s="11" t="s">
        <v>458</v>
      </c>
      <c r="D68" t="s">
        <v>217</v>
      </c>
      <c r="E68" t="s">
        <v>91</v>
      </c>
      <c r="F68" t="s">
        <v>86</v>
      </c>
      <c r="G68" t="str">
        <f t="shared" ref="G68:K81" si="2">+_xlfn.XLOOKUP($D68,$D$11:$D$43,G$11:G$43,"missing",0)</f>
        <v>annual_crop</v>
      </c>
      <c r="H68" t="s">
        <v>433</v>
      </c>
      <c r="I68" t="str">
        <f t="shared" si="2"/>
        <v>Oilseed</v>
      </c>
      <c r="J68" t="str">
        <f t="shared" si="2"/>
        <v>Various</v>
      </c>
      <c r="K68">
        <f t="shared" si="2"/>
        <v>0.25</v>
      </c>
      <c r="L68">
        <v>1</v>
      </c>
      <c r="M68">
        <f>+foreground_occupation_file_index[[#This Row],[c_res]]*foreground_occupation_file_index[[#This Row],[c_crop]]</f>
        <v>0.25</v>
      </c>
    </row>
    <row r="69" spans="1:13" x14ac:dyDescent="0.35">
      <c r="A69" t="s">
        <v>391</v>
      </c>
      <c r="B69" t="s">
        <v>70</v>
      </c>
      <c r="C69" t="s">
        <v>427</v>
      </c>
      <c r="D69" t="s">
        <v>107</v>
      </c>
      <c r="E69" t="s">
        <v>91</v>
      </c>
      <c r="F69" t="s">
        <v>90</v>
      </c>
      <c r="G69" t="str">
        <f t="shared" si="2"/>
        <v>annual_crop</v>
      </c>
      <c r="H69" t="s">
        <v>433</v>
      </c>
      <c r="I69" t="str">
        <f t="shared" si="2"/>
        <v>Cereals</v>
      </c>
      <c r="J69" t="str">
        <f t="shared" si="2"/>
        <v>Rice</v>
      </c>
      <c r="K69">
        <f t="shared" si="2"/>
        <v>0.15</v>
      </c>
      <c r="L69">
        <v>1</v>
      </c>
      <c r="M69">
        <f>+foreground_occupation_file_index[[#This Row],[c_res]]*foreground_occupation_file_index[[#This Row],[c_crop]]</f>
        <v>0.15</v>
      </c>
    </row>
    <row r="70" spans="1:13" x14ac:dyDescent="0.35">
      <c r="A70" t="s">
        <v>392</v>
      </c>
      <c r="B70" t="s">
        <v>71</v>
      </c>
      <c r="C70" s="11" t="s">
        <v>459</v>
      </c>
      <c r="D70" t="s">
        <v>128</v>
      </c>
      <c r="E70" t="s">
        <v>91</v>
      </c>
      <c r="F70" t="s">
        <v>85</v>
      </c>
      <c r="G70" t="str">
        <f t="shared" si="2"/>
        <v>annual_crop</v>
      </c>
      <c r="H70" t="s">
        <v>433</v>
      </c>
      <c r="I70" t="str">
        <f t="shared" si="2"/>
        <v xml:space="preserve">Forage_Fodder_StrawOfCereal </v>
      </c>
      <c r="J70" t="str">
        <f t="shared" si="2"/>
        <v>Mixed_Grasses</v>
      </c>
      <c r="K70">
        <f t="shared" si="2"/>
        <v>0.1</v>
      </c>
      <c r="L70">
        <f>1-0.12</f>
        <v>0.88</v>
      </c>
      <c r="M70">
        <f>+foreground_occupation_file_index[[#This Row],[c_res]]*foreground_occupation_file_index[[#This Row],[c_crop]]</f>
        <v>8.8000000000000009E-2</v>
      </c>
    </row>
    <row r="71" spans="1:13" x14ac:dyDescent="0.35">
      <c r="A71" t="s">
        <v>393</v>
      </c>
      <c r="B71" t="s">
        <v>72</v>
      </c>
      <c r="C71" s="11" t="s">
        <v>459</v>
      </c>
      <c r="D71" t="s">
        <v>128</v>
      </c>
      <c r="E71" t="s">
        <v>91</v>
      </c>
      <c r="F71" t="s">
        <v>86</v>
      </c>
      <c r="G71" t="str">
        <f t="shared" si="2"/>
        <v>annual_crop</v>
      </c>
      <c r="H71" t="s">
        <v>433</v>
      </c>
      <c r="I71" t="str">
        <f t="shared" si="2"/>
        <v xml:space="preserve">Forage_Fodder_StrawOfCereal </v>
      </c>
      <c r="J71" t="str">
        <f t="shared" si="2"/>
        <v>Mixed_Grasses</v>
      </c>
      <c r="K71">
        <f t="shared" si="2"/>
        <v>0.1</v>
      </c>
      <c r="L71">
        <v>1</v>
      </c>
      <c r="M71">
        <f>+foreground_occupation_file_index[[#This Row],[c_res]]*foreground_occupation_file_index[[#This Row],[c_crop]]</f>
        <v>0.1</v>
      </c>
    </row>
    <row r="72" spans="1:13" x14ac:dyDescent="0.35">
      <c r="A72" t="s">
        <v>394</v>
      </c>
      <c r="B72" t="s">
        <v>73</v>
      </c>
      <c r="C72" s="11" t="s">
        <v>461</v>
      </c>
      <c r="D72" t="s">
        <v>108</v>
      </c>
      <c r="E72" t="s">
        <v>91</v>
      </c>
      <c r="F72" t="s">
        <v>90</v>
      </c>
      <c r="G72" t="str">
        <f t="shared" si="2"/>
        <v>annual_crop</v>
      </c>
      <c r="H72" t="s">
        <v>433</v>
      </c>
      <c r="I72" t="str">
        <f t="shared" si="2"/>
        <v>Vegetables_Legume</v>
      </c>
      <c r="J72" t="str">
        <f t="shared" si="2"/>
        <v>Various</v>
      </c>
      <c r="K72">
        <f t="shared" si="2"/>
        <v>0.32</v>
      </c>
      <c r="L72">
        <v>1</v>
      </c>
      <c r="M72">
        <f>+foreground_occupation_file_index[[#This Row],[c_res]]*foreground_occupation_file_index[[#This Row],[c_crop]]</f>
        <v>0.32</v>
      </c>
    </row>
    <row r="73" spans="1:13" x14ac:dyDescent="0.35">
      <c r="A73" t="s">
        <v>395</v>
      </c>
      <c r="B73" t="s">
        <v>74</v>
      </c>
      <c r="C73" s="11" t="s">
        <v>460</v>
      </c>
      <c r="D73" t="s">
        <v>109</v>
      </c>
      <c r="E73" t="s">
        <v>91</v>
      </c>
      <c r="F73" t="s">
        <v>90</v>
      </c>
      <c r="G73" t="str">
        <f t="shared" si="2"/>
        <v>annual_crop</v>
      </c>
      <c r="H73" t="s">
        <v>433</v>
      </c>
      <c r="I73" t="str">
        <f t="shared" si="2"/>
        <v>Vegetables_RootandTuber</v>
      </c>
      <c r="J73" t="str">
        <f t="shared" si="2"/>
        <v>Various</v>
      </c>
      <c r="K73">
        <f t="shared" si="2"/>
        <v>0.5</v>
      </c>
      <c r="L73">
        <v>1</v>
      </c>
      <c r="M73">
        <f>+foreground_occupation_file_index[[#This Row],[c_res]]*foreground_occupation_file_index[[#This Row],[c_crop]]</f>
        <v>0.5</v>
      </c>
    </row>
    <row r="74" spans="1:13" x14ac:dyDescent="0.35">
      <c r="A74" t="s">
        <v>396</v>
      </c>
      <c r="B74" t="s">
        <v>75</v>
      </c>
      <c r="C74" s="11" t="s">
        <v>485</v>
      </c>
      <c r="D74" t="s">
        <v>110</v>
      </c>
      <c r="E74" t="s">
        <v>91</v>
      </c>
      <c r="F74" t="s">
        <v>90</v>
      </c>
      <c r="G74" t="str">
        <f t="shared" si="2"/>
        <v>permanent_crop</v>
      </c>
      <c r="H74" t="s">
        <v>432</v>
      </c>
      <c r="I74" t="str">
        <f t="shared" si="2"/>
        <v>Shrub_Herbs_and_Spices</v>
      </c>
      <c r="J74" t="str">
        <f t="shared" si="2"/>
        <v>Shrub_Herbs_and_Spices</v>
      </c>
      <c r="K74">
        <f t="shared" si="2"/>
        <v>0.15</v>
      </c>
      <c r="L74">
        <v>1</v>
      </c>
      <c r="M74">
        <f>+foreground_occupation_file_index[[#This Row],[c_res]]*foreground_occupation_file_index[[#This Row],[c_crop]]</f>
        <v>0.15</v>
      </c>
    </row>
    <row r="75" spans="1:13" x14ac:dyDescent="0.35">
      <c r="A75" t="s">
        <v>397</v>
      </c>
      <c r="B75" t="s">
        <v>76</v>
      </c>
      <c r="C75" s="11" t="s">
        <v>462</v>
      </c>
      <c r="D75" t="s">
        <v>111</v>
      </c>
      <c r="E75" t="s">
        <v>91</v>
      </c>
      <c r="F75" t="s">
        <v>90</v>
      </c>
      <c r="G75" t="str">
        <f t="shared" si="2"/>
        <v>annual_crop</v>
      </c>
      <c r="H75" t="s">
        <v>433</v>
      </c>
      <c r="I75" t="str">
        <f t="shared" si="2"/>
        <v>Oilseed</v>
      </c>
      <c r="J75" t="str">
        <f t="shared" si="2"/>
        <v>Various</v>
      </c>
      <c r="K75">
        <f t="shared" si="2"/>
        <v>0.25</v>
      </c>
      <c r="L75">
        <v>1</v>
      </c>
      <c r="M75">
        <f>+foreground_occupation_file_index[[#This Row],[c_res]]*foreground_occupation_file_index[[#This Row],[c_crop]]</f>
        <v>0.25</v>
      </c>
    </row>
    <row r="76" spans="1:13" x14ac:dyDescent="0.35">
      <c r="A76" t="s">
        <v>398</v>
      </c>
      <c r="B76" t="s">
        <v>77</v>
      </c>
      <c r="C76" s="11" t="s">
        <v>463</v>
      </c>
      <c r="D76" t="s">
        <v>112</v>
      </c>
      <c r="E76" t="s">
        <v>91</v>
      </c>
      <c r="F76" t="s">
        <v>90</v>
      </c>
      <c r="G76" t="str">
        <f t="shared" si="2"/>
        <v>annual_crop</v>
      </c>
      <c r="H76" t="s">
        <v>433</v>
      </c>
      <c r="I76" t="str">
        <f t="shared" si="2"/>
        <v>Vegetables_RootandTuber</v>
      </c>
      <c r="J76" t="str">
        <f t="shared" si="2"/>
        <v>Various</v>
      </c>
      <c r="K76">
        <f t="shared" si="2"/>
        <v>0.5</v>
      </c>
      <c r="L76">
        <v>1</v>
      </c>
      <c r="M76">
        <f>+foreground_occupation_file_index[[#This Row],[c_res]]*foreground_occupation_file_index[[#This Row],[c_crop]]</f>
        <v>0.5</v>
      </c>
    </row>
    <row r="77" spans="1:13" x14ac:dyDescent="0.35">
      <c r="A77" t="s">
        <v>399</v>
      </c>
      <c r="B77" t="s">
        <v>78</v>
      </c>
      <c r="C77" t="s">
        <v>464</v>
      </c>
      <c r="D77" t="s">
        <v>113</v>
      </c>
      <c r="E77" t="s">
        <v>91</v>
      </c>
      <c r="F77" t="s">
        <v>90</v>
      </c>
      <c r="G77" t="str">
        <f t="shared" si="2"/>
        <v>annual_crop</v>
      </c>
      <c r="H77" t="s">
        <v>433</v>
      </c>
      <c r="I77" t="str">
        <f t="shared" si="2"/>
        <v>Vegetables_Leafy</v>
      </c>
      <c r="J77" t="str">
        <f t="shared" si="2"/>
        <v>Tobacco</v>
      </c>
      <c r="K77">
        <f t="shared" si="2"/>
        <v>0.5</v>
      </c>
      <c r="L77">
        <v>1</v>
      </c>
      <c r="M77">
        <f>+foreground_occupation_file_index[[#This Row],[c_res]]*foreground_occupation_file_index[[#This Row],[c_crop]]</f>
        <v>0.5</v>
      </c>
    </row>
    <row r="78" spans="1:13" x14ac:dyDescent="0.35">
      <c r="A78" t="s">
        <v>400</v>
      </c>
      <c r="B78" t="s">
        <v>79</v>
      </c>
      <c r="C78" s="11" t="s">
        <v>465</v>
      </c>
      <c r="D78" t="s">
        <v>114</v>
      </c>
      <c r="E78" t="s">
        <v>91</v>
      </c>
      <c r="F78" t="s">
        <v>90</v>
      </c>
      <c r="G78" t="str">
        <f t="shared" si="2"/>
        <v>annual_crop</v>
      </c>
      <c r="H78" t="s">
        <v>433</v>
      </c>
      <c r="I78" t="str">
        <f t="shared" si="2"/>
        <v>Vegetables_Fruiting</v>
      </c>
      <c r="J78" t="str">
        <f t="shared" si="2"/>
        <v>Various</v>
      </c>
      <c r="K78">
        <f t="shared" si="2"/>
        <v>0.25</v>
      </c>
      <c r="L78">
        <v>1</v>
      </c>
      <c r="M78">
        <f>+foreground_occupation_file_index[[#This Row],[c_res]]*foreground_occupation_file_index[[#This Row],[c_crop]]</f>
        <v>0.25</v>
      </c>
    </row>
    <row r="79" spans="1:13" x14ac:dyDescent="0.35">
      <c r="A79" t="s">
        <v>401</v>
      </c>
      <c r="B79" t="s">
        <v>80</v>
      </c>
      <c r="C79" s="11" t="s">
        <v>466</v>
      </c>
      <c r="D79" t="s">
        <v>84</v>
      </c>
      <c r="E79" t="s">
        <v>91</v>
      </c>
      <c r="F79" t="s">
        <v>85</v>
      </c>
      <c r="G79" t="str">
        <f t="shared" si="2"/>
        <v>annual_crop</v>
      </c>
      <c r="H79" t="s">
        <v>433</v>
      </c>
      <c r="I79" t="str">
        <f t="shared" si="2"/>
        <v>Cereals</v>
      </c>
      <c r="J79" t="str">
        <f t="shared" si="2"/>
        <v>Various</v>
      </c>
      <c r="K79">
        <f t="shared" si="2"/>
        <v>0.2</v>
      </c>
      <c r="L79">
        <f>1-0.12</f>
        <v>0.88</v>
      </c>
      <c r="M79">
        <f>+foreground_occupation_file_index[[#This Row],[c_res]]*foreground_occupation_file_index[[#This Row],[c_crop]]</f>
        <v>0.17600000000000002</v>
      </c>
    </row>
    <row r="80" spans="1:13" x14ac:dyDescent="0.35">
      <c r="A80" t="s">
        <v>402</v>
      </c>
      <c r="B80" t="s">
        <v>81</v>
      </c>
      <c r="C80" s="11" t="s">
        <v>466</v>
      </c>
      <c r="D80" t="s">
        <v>84</v>
      </c>
      <c r="E80" t="s">
        <v>91</v>
      </c>
      <c r="F80" t="s">
        <v>86</v>
      </c>
      <c r="G80" t="str">
        <f t="shared" si="2"/>
        <v>annual_crop</v>
      </c>
      <c r="H80" t="s">
        <v>433</v>
      </c>
      <c r="I80" t="str">
        <f t="shared" si="2"/>
        <v>Cereals</v>
      </c>
      <c r="J80" t="str">
        <f t="shared" si="2"/>
        <v>Various</v>
      </c>
      <c r="K80">
        <f t="shared" si="2"/>
        <v>0.2</v>
      </c>
      <c r="L80">
        <v>1</v>
      </c>
      <c r="M80">
        <f>+foreground_occupation_file_index[[#This Row],[c_res]]*foreground_occupation_file_index[[#This Row],[c_crop]]</f>
        <v>0.2</v>
      </c>
    </row>
    <row r="81" spans="1:13" x14ac:dyDescent="0.35">
      <c r="A81" t="s">
        <v>403</v>
      </c>
      <c r="B81" t="s">
        <v>82</v>
      </c>
      <c r="C81" t="s">
        <v>428</v>
      </c>
      <c r="D81" t="s">
        <v>82</v>
      </c>
      <c r="E81" t="s">
        <v>90</v>
      </c>
      <c r="F81" t="s">
        <v>90</v>
      </c>
      <c r="I81" t="str">
        <f t="shared" si="2"/>
        <v>missing</v>
      </c>
      <c r="J81" t="str">
        <f t="shared" si="2"/>
        <v>missing</v>
      </c>
      <c r="K81">
        <v>1</v>
      </c>
      <c r="L81">
        <v>1</v>
      </c>
      <c r="M81">
        <f>+foreground_occupation_file_index[[#This Row],[c_res]]*foreground_occupation_file_index[[#This Row],[c_crop]]</f>
        <v>1</v>
      </c>
    </row>
  </sheetData>
  <pageMargins left="0.7" right="0.7" top="0.75" bottom="0.75" header="0.3" footer="0.3"/>
  <pageSetup orientation="portrait" horizontalDpi="30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6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2026-05-20T19:42:28Z</dcterms:modified>
</cp:coreProperties>
</file>